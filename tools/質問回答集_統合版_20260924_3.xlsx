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はじめに" sheetId="1" state="visible" r:id="rId3"/>
    <sheet name="両館の回答" sheetId="2" state="visible" r:id="rId4"/>
    <sheet name="重複・食い違い" sheetId="3" state="visible" r:id="rId5"/>
    <sheet name="決定事項" sheetId="4" state="visible" r:id="rId6"/>
    <sheet name="登録用" sheetId="5" state="visible" r:id="rId7"/>
    <sheet name="参考_宿泊施設への道順" sheetId="6" state="visible" r:id="rId8"/>
  </sheets>
  <definedNames>
    <definedName function="false" hidden="true" localSheetId="1" name="_xlnm._FilterDatabase" vbProcedure="false">両館の回答!$A$1:$M$50</definedName>
    <definedName function="false" hidden="true" localSheetId="4" name="_xlnm._FilterDatabase" vbProcedure="false">登録用!$A$1:$M$61</definedName>
    <definedName function="false" hidden="true" localSheetId="2" name="_xlnm._FilterDatabase" vbProcedure="false">重複・食い違い!$A$1:$H$23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<sst xmlns="http://schemas.openxmlformats.org/spreadsheetml/2006/main" count="1332" uniqueCount="474">
  <si>
    <t xml:space="preserve">質問回答集　統合版（両館の回答を並べたもの）</t>
  </si>
  <si>
    <r>
      <rPr>
        <sz val="10"/>
        <rFont val="Yu Gothic"/>
        <family val="0"/>
        <charset val="1"/>
      </rPr>
      <t xml:space="preserve">2026</t>
    </r>
    <r>
      <rPr>
        <sz val="10"/>
        <rFont val="Noto Sans CJK SC"/>
        <family val="2"/>
      </rPr>
      <t xml:space="preserve">年</t>
    </r>
    <r>
      <rPr>
        <sz val="10"/>
        <rFont val="Yu Gothic"/>
        <family val="0"/>
        <charset val="1"/>
      </rPr>
      <t xml:space="preserve">9</t>
    </r>
    <r>
      <rPr>
        <sz val="10"/>
        <rFont val="Noto Sans CJK SC"/>
        <family val="2"/>
      </rPr>
      <t xml:space="preserve">月</t>
    </r>
    <r>
      <rPr>
        <sz val="10"/>
        <rFont val="Yu Gothic"/>
        <family val="0"/>
        <charset val="1"/>
      </rPr>
      <t xml:space="preserve">24</t>
    </r>
    <r>
      <rPr>
        <sz val="10"/>
        <rFont val="Noto Sans CJK SC"/>
        <family val="2"/>
      </rPr>
      <t xml:space="preserve">日作成（</t>
    </r>
    <r>
      <rPr>
        <sz val="10"/>
        <rFont val="Yu Gothic"/>
        <family val="0"/>
        <charset val="1"/>
      </rPr>
      <t xml:space="preserve">9</t>
    </r>
    <r>
      <rPr>
        <sz val="10"/>
        <rFont val="Noto Sans CJK SC"/>
        <family val="2"/>
      </rPr>
      <t xml:space="preserve">月</t>
    </r>
    <r>
      <rPr>
        <sz val="10"/>
        <rFont val="Yu Gothic"/>
        <family val="0"/>
        <charset val="1"/>
      </rPr>
      <t xml:space="preserve">24</t>
    </r>
    <r>
      <rPr>
        <sz val="10"/>
        <rFont val="Noto Sans CJK SC"/>
        <family val="2"/>
      </rPr>
      <t xml:space="preserve">日の回答を反映）。バスターミナルとであいの館の確認結果を、それぞれの館の回答として並べ、要確認への回答を反映しました。</t>
    </r>
  </si>
  <si>
    <t xml:space="preserve">まとめ方</t>
  </si>
  <si>
    <t xml:space="preserve">バスターミナル</t>
  </si>
  <si>
    <t xml:space="preserve">バスターミナルの確認表（確認結果・修正欄・直接の書き換え）を、バスターミナルの回答としています</t>
  </si>
  <si>
    <t xml:space="preserve">であいの館</t>
  </si>
  <si>
    <t xml:space="preserve">であいの館の確認表（やまださんが回答欄を直接書き換えたもの）を、であいの館の回答としています</t>
  </si>
  <si>
    <t xml:space="preserve">要確認への回答</t>
  </si>
  <si>
    <r>
      <rPr>
        <sz val="10"/>
        <rFont val="Noto Sans CJK SC"/>
        <family val="2"/>
      </rPr>
      <t xml:space="preserve">いただいた対応メモを反映しました。内容は「決定事項」シートに</t>
    </r>
    <r>
      <rPr>
        <sz val="10"/>
        <rFont val="Yu Gothic"/>
        <family val="0"/>
        <charset val="1"/>
      </rPr>
      <t xml:space="preserve">1</t>
    </r>
    <r>
      <rPr>
        <sz val="10"/>
        <rFont val="Noto Sans CJK SC"/>
        <family val="2"/>
      </rPr>
      <t xml:space="preserve">件ずつ記録しています</t>
    </r>
  </si>
  <si>
    <t xml:space="preserve">従来の登録分</t>
  </si>
  <si>
    <t xml:space="preserve">今回の確認対象でなかった項目も、両館共通として含めています</t>
  </si>
  <si>
    <t xml:space="preserve">シートの構成</t>
  </si>
  <si>
    <t xml:space="preserve">両館の回答</t>
  </si>
  <si>
    <r>
      <rPr>
        <sz val="10"/>
        <rFont val="Yu Gothic"/>
        <family val="0"/>
        <charset val="1"/>
      </rPr>
      <t xml:space="preserve">1</t>
    </r>
    <r>
      <rPr>
        <sz val="10"/>
        <rFont val="Noto Sans CJK SC"/>
        <family val="2"/>
      </rPr>
      <t xml:space="preserve">行＝</t>
    </r>
    <r>
      <rPr>
        <sz val="10"/>
        <rFont val="Yu Gothic"/>
        <family val="0"/>
        <charset val="1"/>
      </rPr>
      <t xml:space="preserve">1</t>
    </r>
    <r>
      <rPr>
        <sz val="10"/>
        <rFont val="Noto Sans CJK SC"/>
        <family val="2"/>
      </rPr>
      <t xml:space="preserve">項目。バスターミナルとであいの館の回答・読み上げ文・掲載期間を横に並べています。両館で違う部分は赤の太字です</t>
    </r>
  </si>
  <si>
    <t xml:space="preserve">重複・食い違い</t>
  </si>
  <si>
    <t xml:space="preserve">両館で食い違っている項目、表現だけが違う項目、両館で同じ内容（重複）の項目を分けてまとめています</t>
  </si>
  <si>
    <t xml:space="preserve">決定事項</t>
  </si>
  <si>
    <t xml:space="preserve">要確認への回答（対応メモ）と、それをどう反映したか。まだ残っている確認も記載</t>
  </si>
  <si>
    <t xml:space="preserve">登録用</t>
  </si>
  <si>
    <r>
      <rPr>
        <sz val="10"/>
        <rFont val="Noto Sans CJK SC"/>
        <family val="2"/>
      </rPr>
      <t xml:space="preserve">登録するための一覧（</t>
    </r>
    <r>
      <rPr>
        <sz val="10"/>
        <rFont val="Yu Gothic"/>
        <family val="0"/>
        <charset val="1"/>
      </rPr>
      <t xml:space="preserve">1</t>
    </r>
    <r>
      <rPr>
        <sz val="10"/>
        <rFont val="Noto Sans CJK SC"/>
        <family val="2"/>
      </rPr>
      <t xml:space="preserve">行＝</t>
    </r>
    <r>
      <rPr>
        <sz val="10"/>
        <rFont val="Yu Gothic"/>
        <family val="0"/>
        <charset val="1"/>
      </rPr>
      <t xml:space="preserve">1</t>
    </r>
    <r>
      <rPr>
        <sz val="10"/>
        <rFont val="Noto Sans CJK SC"/>
        <family val="2"/>
      </rPr>
      <t xml:space="preserve">件）。両館で同じ内容なら「共通」の</t>
    </r>
    <r>
      <rPr>
        <sz val="10"/>
        <rFont val="Yu Gothic"/>
        <family val="0"/>
        <charset val="1"/>
      </rPr>
      <t xml:space="preserve">1</t>
    </r>
    <r>
      <rPr>
        <sz val="10"/>
        <rFont val="Noto Sans CJK SC"/>
        <family val="2"/>
      </rPr>
      <t xml:space="preserve">行、違えば館ごとに</t>
    </r>
    <r>
      <rPr>
        <sz val="10"/>
        <rFont val="Yu Gothic"/>
        <family val="0"/>
        <charset val="1"/>
      </rPr>
      <t xml:space="preserve">2</t>
    </r>
    <r>
      <rPr>
        <sz val="10"/>
        <rFont val="Noto Sans CJK SC"/>
        <family val="2"/>
      </rPr>
      <t xml:space="preserve">行（</t>
    </r>
    <r>
      <rPr>
        <sz val="10"/>
        <rFont val="Yu Gothic"/>
        <family val="0"/>
        <charset val="1"/>
      </rPr>
      <t xml:space="preserve">ID</t>
    </r>
    <r>
      <rPr>
        <sz val="10"/>
        <rFont val="Noto Sans CJK SC"/>
        <family val="2"/>
      </rPr>
      <t xml:space="preserve">の末尾に </t>
    </r>
    <r>
      <rPr>
        <sz val="10"/>
        <rFont val="Yu Gothic"/>
        <family val="0"/>
        <charset val="1"/>
      </rPr>
      <t xml:space="preserve">_bt</t>
    </r>
    <r>
      <rPr>
        <sz val="10"/>
        <rFont val="Noto Sans CJK SC"/>
        <family val="2"/>
      </rPr>
      <t xml:space="preserve">／</t>
    </r>
    <r>
      <rPr>
        <sz val="10"/>
        <rFont val="Yu Gothic"/>
        <family val="0"/>
        <charset val="1"/>
      </rPr>
      <t xml:space="preserve">_deai</t>
    </r>
    <r>
      <rPr>
        <sz val="10"/>
        <rFont val="Noto Sans CJK SC"/>
        <family val="2"/>
      </rPr>
      <t xml:space="preserve">）</t>
    </r>
  </si>
  <si>
    <r>
      <rPr>
        <b val="true"/>
        <sz val="10"/>
        <rFont val="Noto Sans CJK SC"/>
        <family val="2"/>
      </rPr>
      <t xml:space="preserve">参考</t>
    </r>
    <r>
      <rPr>
        <b val="true"/>
        <sz val="10"/>
        <rFont val="Yu Gothic"/>
        <family val="0"/>
        <charset val="1"/>
      </rPr>
      <t xml:space="preserve">_</t>
    </r>
    <r>
      <rPr>
        <b val="true"/>
        <sz val="10"/>
        <rFont val="Noto Sans CJK SC"/>
        <family val="2"/>
      </rPr>
      <t xml:space="preserve">宿泊施設への道順</t>
    </r>
  </si>
  <si>
    <r>
      <rPr>
        <sz val="10"/>
        <rFont val="Noto Sans CJK SC"/>
        <family val="2"/>
      </rPr>
      <t xml:space="preserve">宿泊施設への道順の地図（</t>
    </r>
    <r>
      <rPr>
        <sz val="10"/>
        <rFont val="Yu Gothic"/>
        <family val="0"/>
        <charset val="1"/>
      </rPr>
      <t xml:space="preserve">PowerPoint 2</t>
    </r>
    <r>
      <rPr>
        <sz val="10"/>
        <rFont val="Noto Sans CJK SC"/>
        <family val="2"/>
      </rPr>
      <t xml:space="preserve">枚）</t>
    </r>
  </si>
  <si>
    <t xml:space="preserve">「比較」列の意味</t>
  </si>
  <si>
    <t xml:space="preserve">食い違い（要確認）</t>
  </si>
  <si>
    <t xml:space="preserve">両館で事実が食い違っている。どちらが正しいか確認が必要</t>
  </si>
  <si>
    <t xml:space="preserve">表現の違い（館ごとに確定）</t>
  </si>
  <si>
    <t xml:space="preserve">説明の量が館で違うが、それぞれの館の回答のままと決定したもの</t>
  </si>
  <si>
    <t xml:space="preserve">場所による違い</t>
  </si>
  <si>
    <t xml:space="preserve">道順や設備など、館によって答えが違って当然のもの</t>
  </si>
  <si>
    <t xml:space="preserve">決定を反映（同じ内容）</t>
  </si>
  <si>
    <t xml:space="preserve">対応メモにしたがって両館をそろえたもの</t>
  </si>
  <si>
    <t xml:space="preserve">同じ内容</t>
  </si>
  <si>
    <t xml:space="preserve">もともと両館で同じ回答だったもの</t>
  </si>
  <si>
    <t xml:space="preserve">バスターミナルのみ／であいの館のみ</t>
  </si>
  <si>
    <t xml:space="preserve">片方の館だけで案内するもの</t>
  </si>
  <si>
    <t xml:space="preserve">確認対象外（共通）</t>
  </si>
  <si>
    <t xml:space="preserve">今回の確認の対象でなかった従来の登録分</t>
  </si>
  <si>
    <t xml:space="preserve">件数</t>
  </si>
  <si>
    <t xml:space="preserve">項目の総数</t>
  </si>
  <si>
    <t xml:space="preserve">バスターミナルのみ</t>
  </si>
  <si>
    <t xml:space="preserve">であいの館のみ</t>
  </si>
  <si>
    <t xml:space="preserve">登録用の行数</t>
  </si>
  <si>
    <t xml:space="preserve">この後の流れ</t>
  </si>
  <si>
    <t xml:space="preserve">1</t>
  </si>
  <si>
    <t xml:space="preserve">食い違い・表現の違いはすべて決定済み。「決定事項」シートの「残っている確認」を確認する</t>
  </si>
  <si>
    <t xml:space="preserve">2</t>
  </si>
  <si>
    <r>
      <rPr>
        <sz val="10"/>
        <rFont val="Noto Sans CJK SC"/>
        <family val="2"/>
      </rPr>
      <t xml:space="preserve">日本語が確定したら、</t>
    </r>
    <r>
      <rPr>
        <sz val="10"/>
        <rFont val="Yu Gothic"/>
        <family val="0"/>
        <charset val="1"/>
      </rPr>
      <t xml:space="preserve">5</t>
    </r>
    <r>
      <rPr>
        <sz val="10"/>
        <rFont val="Noto Sans CJK SC"/>
        <family val="2"/>
      </rPr>
      <t xml:space="preserve">言語の翻訳をまとめて作り直す</t>
    </r>
  </si>
  <si>
    <t xml:space="preserve">3</t>
  </si>
  <si>
    <t xml:space="preserve">「設置場所」で案内を出し分ける仕組みを、変換ツールと端末アプリに追加する（未実装）</t>
  </si>
  <si>
    <t xml:space="preserve">No</t>
  </si>
  <si>
    <t xml:space="preserve">項目</t>
  </si>
  <si>
    <t xml:space="preserve">分類</t>
  </si>
  <si>
    <t xml:space="preserve">比較</t>
  </si>
  <si>
    <t xml:space="preserve">想定される質問</t>
  </si>
  <si>
    <t xml:space="preserve">バスターミナルの回答</t>
  </si>
  <si>
    <t xml:space="preserve">であいの館の回答</t>
  </si>
  <si>
    <t xml:space="preserve">バスターミナルの読み上げ文</t>
  </si>
  <si>
    <t xml:space="preserve">であいの館の読み上げ文</t>
  </si>
  <si>
    <t xml:space="preserve">掲載期間
バスターミナル</t>
  </si>
  <si>
    <t xml:space="preserve">掲載期間
であいの館</t>
  </si>
  <si>
    <t xml:space="preserve">写真・リンク</t>
  </si>
  <si>
    <t xml:space="preserve">反映した内容・備考</t>
  </si>
  <si>
    <t xml:space="preserve">shuttle_observatory</t>
  </si>
  <si>
    <t xml:space="preserve">バス・交通</t>
  </si>
  <si>
    <t xml:space="preserve">展望台 バス
シャトルバス
展望台 何時
バス 展望台
シャトル 時間</t>
  </si>
  <si>
    <r>
      <rPr>
        <sz val="10"/>
        <color rgb="FF2B2B2B"/>
        <rFont val="Noto Sans CJK SC"/>
        <family val="2"/>
      </rPr>
      <t xml:space="preserve">展望台行きのシャトルバスは、和田家のすいれん池前の乗り場から出ています。料金は片道</t>
    </r>
    <r>
      <rPr>
        <sz val="10"/>
        <color rgb="FF2B2B2B"/>
        <rFont val="Yu Gothic"/>
        <family val="0"/>
        <charset val="1"/>
      </rPr>
      <t xml:space="preserve">300</t>
    </r>
    <r>
      <rPr>
        <sz val="10"/>
        <color rgb="FF2B2B2B"/>
        <rFont val="Noto Sans CJK SC"/>
        <family val="2"/>
      </rPr>
      <t xml:space="preserve">円で、降りるときに現金でお支払いください。小学生は半額、幼児は座席を使わない場合は無料、障害者手帳をお持ちの方は半額です。ペットはご乗車いただけません。上りは午前</t>
    </r>
    <r>
      <rPr>
        <sz val="10"/>
        <color rgb="FF2B2B2B"/>
        <rFont val="Yu Gothic"/>
        <family val="0"/>
        <charset val="1"/>
      </rPr>
      <t xml:space="preserve">9</t>
    </r>
    <r>
      <rPr>
        <sz val="10"/>
        <color rgb="FF2B2B2B"/>
        <rFont val="Noto Sans CJK SC"/>
        <family val="2"/>
      </rPr>
      <t xml:space="preserve">時から</t>
    </r>
    <r>
      <rPr>
        <sz val="10"/>
        <color rgb="FF2B2B2B"/>
        <rFont val="Yu Gothic"/>
        <family val="0"/>
        <charset val="1"/>
      </rPr>
      <t xml:space="preserve">11</t>
    </r>
    <r>
      <rPr>
        <sz val="10"/>
        <color rgb="FF2B2B2B"/>
        <rFont val="Noto Sans CJK SC"/>
        <family val="2"/>
      </rPr>
      <t xml:space="preserve">時</t>
    </r>
    <r>
      <rPr>
        <sz val="10"/>
        <color rgb="FF2B2B2B"/>
        <rFont val="Yu Gothic"/>
        <family val="0"/>
        <charset val="1"/>
      </rPr>
      <t xml:space="preserve">40</t>
    </r>
    <r>
      <rPr>
        <sz val="10"/>
        <color rgb="FF2B2B2B"/>
        <rFont val="Noto Sans CJK SC"/>
        <family val="2"/>
      </rPr>
      <t xml:space="preserve">分まで、午後は</t>
    </r>
    <r>
      <rPr>
        <sz val="10"/>
        <color rgb="FF2B2B2B"/>
        <rFont val="Yu Gothic"/>
        <family val="0"/>
        <charset val="1"/>
      </rPr>
      <t xml:space="preserve">1</t>
    </r>
    <r>
      <rPr>
        <sz val="10"/>
        <color rgb="FF2B2B2B"/>
        <rFont val="Noto Sans CJK SC"/>
        <family val="2"/>
      </rPr>
      <t xml:space="preserve">時</t>
    </r>
    <r>
      <rPr>
        <sz val="10"/>
        <color rgb="FF2B2B2B"/>
        <rFont val="Yu Gothic"/>
        <family val="0"/>
        <charset val="1"/>
      </rPr>
      <t xml:space="preserve">20</t>
    </r>
    <r>
      <rPr>
        <sz val="10"/>
        <color rgb="FF2B2B2B"/>
        <rFont val="Noto Sans CJK SC"/>
        <family val="2"/>
      </rPr>
      <t xml:space="preserve">分から</t>
    </r>
    <r>
      <rPr>
        <sz val="10"/>
        <color rgb="FF2B2B2B"/>
        <rFont val="Yu Gothic"/>
        <family val="0"/>
        <charset val="1"/>
      </rPr>
      <t xml:space="preserve">3</t>
    </r>
    <r>
      <rPr>
        <sz val="10"/>
        <color rgb="FF2B2B2B"/>
        <rFont val="Noto Sans CJK SC"/>
        <family val="2"/>
      </rPr>
      <t xml:space="preserve">時</t>
    </r>
    <r>
      <rPr>
        <sz val="10"/>
        <color rgb="FF2B2B2B"/>
        <rFont val="Yu Gothic"/>
        <family val="0"/>
        <charset val="1"/>
      </rPr>
      <t xml:space="preserve">40</t>
    </r>
    <r>
      <rPr>
        <sz val="10"/>
        <color rgb="FF2B2B2B"/>
        <rFont val="Noto Sans CJK SC"/>
        <family val="2"/>
      </rPr>
      <t xml:space="preserve">分まで。下りは午前</t>
    </r>
    <r>
      <rPr>
        <sz val="10"/>
        <color rgb="FF2B2B2B"/>
        <rFont val="Yu Gothic"/>
        <family val="0"/>
        <charset val="1"/>
      </rPr>
      <t xml:space="preserve">9</t>
    </r>
    <r>
      <rPr>
        <sz val="10"/>
        <color rgb="FF2B2B2B"/>
        <rFont val="Noto Sans CJK SC"/>
        <family val="2"/>
      </rPr>
      <t xml:space="preserve">時</t>
    </r>
    <r>
      <rPr>
        <sz val="10"/>
        <color rgb="FF2B2B2B"/>
        <rFont val="Yu Gothic"/>
        <family val="0"/>
        <charset val="1"/>
      </rPr>
      <t xml:space="preserve">10</t>
    </r>
    <r>
      <rPr>
        <sz val="10"/>
        <color rgb="FF2B2B2B"/>
        <rFont val="Noto Sans CJK SC"/>
        <family val="2"/>
      </rPr>
      <t xml:space="preserve">分から</t>
    </r>
    <r>
      <rPr>
        <sz val="10"/>
        <color rgb="FF2B2B2B"/>
        <rFont val="Yu Gothic"/>
        <family val="0"/>
        <charset val="1"/>
      </rPr>
      <t xml:space="preserve">12</t>
    </r>
    <r>
      <rPr>
        <sz val="10"/>
        <color rgb="FF2B2B2B"/>
        <rFont val="Noto Sans CJK SC"/>
        <family val="2"/>
      </rPr>
      <t xml:space="preserve">時</t>
    </r>
    <r>
      <rPr>
        <sz val="10"/>
        <color rgb="FF2B2B2B"/>
        <rFont val="Yu Gothic"/>
        <family val="0"/>
        <charset val="1"/>
      </rPr>
      <t xml:space="preserve">10</t>
    </r>
    <r>
      <rPr>
        <sz val="10"/>
        <color rgb="FF2B2B2B"/>
        <rFont val="Noto Sans CJK SC"/>
        <family val="2"/>
      </rPr>
      <t xml:space="preserve">分まで、午後は</t>
    </r>
    <r>
      <rPr>
        <sz val="10"/>
        <color rgb="FF2B2B2B"/>
        <rFont val="Yu Gothic"/>
        <family val="0"/>
        <charset val="1"/>
      </rPr>
      <t xml:space="preserve">1</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t>
    </r>
    <r>
      <rPr>
        <sz val="10"/>
        <color rgb="FF2B2B2B"/>
        <rFont val="Yu Gothic"/>
        <family val="0"/>
        <charset val="1"/>
      </rPr>
      <t xml:space="preserve">4</t>
    </r>
    <r>
      <rPr>
        <sz val="10"/>
        <color rgb="FF2B2B2B"/>
        <rFont val="Noto Sans CJK SC"/>
        <family val="2"/>
      </rPr>
      <t xml:space="preserve">時</t>
    </r>
    <r>
      <rPr>
        <sz val="10"/>
        <color rgb="FF2B2B2B"/>
        <rFont val="Yu Gothic"/>
        <family val="0"/>
        <charset val="1"/>
      </rPr>
      <t xml:space="preserve">10</t>
    </r>
    <r>
      <rPr>
        <sz val="10"/>
        <color rgb="FF2B2B2B"/>
        <rFont val="Noto Sans CJK SC"/>
        <family val="2"/>
      </rPr>
      <t xml:space="preserve">分まで。いずれも</t>
    </r>
    <r>
      <rPr>
        <sz val="10"/>
        <color rgb="FF2B2B2B"/>
        <rFont val="Yu Gothic"/>
        <family val="0"/>
        <charset val="1"/>
      </rPr>
      <t xml:space="preserve">20</t>
    </r>
    <r>
      <rPr>
        <sz val="10"/>
        <color rgb="FF2B2B2B"/>
        <rFont val="Noto Sans CJK SC"/>
        <family val="2"/>
      </rPr>
      <t xml:space="preserve">分間隔で運行しています。</t>
    </r>
  </si>
  <si>
    <r>
      <rPr>
        <sz val="10"/>
        <color rgb="FF2B2B2B"/>
        <rFont val="Noto Sans CJK SC"/>
        <family val="2"/>
      </rPr>
      <t xml:space="preserve">展望台行きのシャトルバスは、和田家のすいれん池前の乗り場から出ています。片道</t>
    </r>
    <r>
      <rPr>
        <sz val="10"/>
        <color rgb="FF2B2B2B"/>
        <rFont val="Yu Gothic"/>
        <family val="0"/>
        <charset val="1"/>
      </rPr>
      <t xml:space="preserve">300</t>
    </r>
    <r>
      <rPr>
        <sz val="10"/>
        <color rgb="FF2B2B2B"/>
        <rFont val="Noto Sans CJK SC"/>
        <family val="2"/>
      </rPr>
      <t xml:space="preserve">円、</t>
    </r>
    <r>
      <rPr>
        <sz val="10"/>
        <color rgb="FF2B2B2B"/>
        <rFont val="Yu Gothic"/>
        <family val="0"/>
        <charset val="1"/>
      </rPr>
      <t xml:space="preserve">20</t>
    </r>
    <r>
      <rPr>
        <sz val="10"/>
        <color rgb="FF2B2B2B"/>
        <rFont val="Noto Sans CJK SC"/>
        <family val="2"/>
      </rPr>
      <t xml:space="preserve">分間隔の運行です。時刻と割引は画面をご覧ください。</t>
    </r>
  </si>
  <si>
    <t xml:space="preserve">常に表示</t>
  </si>
  <si>
    <r>
      <rPr>
        <sz val="10"/>
        <color rgb="FF2B2B2B"/>
        <rFont val="Noto Sans CJK SC"/>
        <family val="2"/>
      </rPr>
      <t xml:space="preserve">リンク：</t>
    </r>
    <r>
      <rPr>
        <sz val="10"/>
        <color rgb="FF2B2B2B"/>
        <rFont val="Yu Gothic"/>
        <family val="0"/>
        <charset val="1"/>
      </rPr>
      <t xml:space="preserve">https://shirakawa-go.gr.jp/events/141/</t>
    </r>
  </si>
  <si>
    <t xml:space="preserve">【決定】乗り場名を「和田家のすいれん池前の乗り場」に統一
読み上げ文を直接修正</t>
  </si>
  <si>
    <t xml:space="preserve">taxi</t>
  </si>
  <si>
    <t xml:space="preserve">タクシー
タクシー 呼べ
タクシー 乗り
タクシー ある</t>
  </si>
  <si>
    <t xml:space="preserve">村内のタクシー会社は一社のみで、シャトルバスの運行をしているため、通常はご利用いただけません。タクシー会社に直接電話していただき、予約が取れた場合のみ利用可能です。村内の移動は路線バスをご利用ください。</t>
  </si>
  <si>
    <t xml:space="preserve">直接タクシー会社に電話予約してください。１社しかないため対応できない場合もございます。</t>
  </si>
  <si>
    <t xml:space="preserve">【決定】であいの館の文章に統一
回答欄を直接修正
読み上げ文を直接修正</t>
  </si>
  <si>
    <t xml:space="preserve">terao_shuttle</t>
  </si>
  <si>
    <t xml:space="preserve">寺尾 駐車場
寺尾 バス
駐車場 戻る
寺尾 行き</t>
  </si>
  <si>
    <r>
      <rPr>
        <sz val="10"/>
        <color rgb="FF2B2B2B"/>
        <rFont val="Noto Sans CJK SC"/>
        <family val="2"/>
      </rPr>
      <t xml:space="preserve">寺尾駐車場行きのシャトルバスは、</t>
    </r>
    <r>
      <rPr>
        <b val="true"/>
        <sz val="10"/>
        <color rgb="FFB03A2E"/>
        <rFont val="Noto Sans CJK SC"/>
        <family val="2"/>
      </rPr>
      <t xml:space="preserve">降りた場所と同じ</t>
    </r>
    <r>
      <rPr>
        <sz val="10"/>
        <color rgb="FF2B2B2B"/>
        <rFont val="Noto Sans CJK SC"/>
        <family val="2"/>
      </rPr>
      <t xml:space="preserve">乗降場所</t>
    </r>
    <r>
      <rPr>
        <b val="true"/>
        <sz val="10"/>
        <color rgb="FFB03A2E"/>
        <rFont val="Noto Sans CJK SC"/>
        <family val="2"/>
      </rPr>
      <t xml:space="preserve">です。時刻は決まっておら</t>
    </r>
    <r>
      <rPr>
        <sz val="10"/>
        <color rgb="FF2B2B2B"/>
        <rFont val="Noto Sans CJK SC"/>
        <family val="2"/>
      </rPr>
      <t xml:space="preserve">ず、随時運行しております</t>
    </r>
    <r>
      <rPr>
        <b val="true"/>
        <sz val="10"/>
        <color rgb="FFB03A2E"/>
        <rFont val="Noto Sans CJK SC"/>
        <family val="2"/>
      </rPr>
      <t xml:space="preserve">ので、降り</t>
    </r>
    <r>
      <rPr>
        <sz val="10"/>
        <color rgb="FF2B2B2B"/>
        <rFont val="Noto Sans CJK SC"/>
        <family val="2"/>
      </rPr>
      <t xml:space="preserve">た場所でお待ちください。</t>
    </r>
  </si>
  <si>
    <r>
      <rPr>
        <sz val="10"/>
        <color rgb="FF2B2B2B"/>
        <rFont val="Noto Sans CJK SC"/>
        <family val="2"/>
      </rPr>
      <t xml:space="preserve">寺尾駐車場行きのシャトルバスは、</t>
    </r>
    <r>
      <rPr>
        <b val="true"/>
        <sz val="10"/>
        <color rgb="FFB03A2E"/>
        <rFont val="Noto Sans CJK SC"/>
        <family val="2"/>
      </rPr>
      <t xml:space="preserve">展望台行き</t>
    </r>
    <r>
      <rPr>
        <sz val="10"/>
        <color rgb="FF2B2B2B"/>
        <rFont val="Noto Sans CJK SC"/>
        <family val="2"/>
      </rPr>
      <t xml:space="preserve">乗降場所</t>
    </r>
    <r>
      <rPr>
        <b val="true"/>
        <sz val="10"/>
        <color rgb="FFB03A2E"/>
        <rFont val="Noto Sans CJK SC"/>
        <family val="2"/>
      </rPr>
      <t xml:space="preserve">とは異なります。せせらぎ公園駐車場からダイヤを定め</t>
    </r>
    <r>
      <rPr>
        <sz val="10"/>
        <color rgb="FF2B2B2B"/>
        <rFont val="Noto Sans CJK SC"/>
        <family val="2"/>
      </rPr>
      <t xml:space="preserve">ず、随時運行しております</t>
    </r>
    <r>
      <rPr>
        <b val="true"/>
        <sz val="10"/>
        <color rgb="FFB03A2E"/>
        <rFont val="Noto Sans CJK SC"/>
        <family val="2"/>
      </rPr>
      <t xml:space="preserve">。往路で降車され</t>
    </r>
    <r>
      <rPr>
        <sz val="10"/>
        <color rgb="FF2B2B2B"/>
        <rFont val="Noto Sans CJK SC"/>
        <family val="2"/>
      </rPr>
      <t xml:space="preserve">た場所でお待ちください。</t>
    </r>
  </si>
  <si>
    <t xml:space="preserve">寺尾駐車場とせせらぎ公園駐車場のであい橋袂を結んで、ダイヤを定めず随時運行しています。降車された場所でお待ちください。</t>
  </si>
  <si>
    <t xml:space="preserve">◆両館とも「降りた場所でお待ちください」。であいの館は、せせらぎ公園駐車場（であい橋袂）発着で展望台行きとは乗り場が違うことを明記
修正欄の文章に差し替え
【決定】館ごとの回答のまま（バスターミナル版に乗り場の説明は入れない）
回答欄を直接修正
読み上げ文を直接修正</t>
  </si>
  <si>
    <t xml:space="preserve">atm</t>
  </si>
  <si>
    <t xml:space="preserve">施設・設備</t>
  </si>
  <si>
    <r>
      <rPr>
        <sz val="10"/>
        <color rgb="FF2B2B2B"/>
        <rFont val="Yu Gothic"/>
        <family val="0"/>
        <charset val="1"/>
      </rPr>
      <t xml:space="preserve">atm
</t>
    </r>
    <r>
      <rPr>
        <sz val="10"/>
        <color rgb="FF2B2B2B"/>
        <rFont val="Noto Sans CJK SC"/>
        <family val="2"/>
      </rPr>
      <t xml:space="preserve">お金 おろ
現金 引き出
郵便局
キャッシング
お金 引き出</t>
    </r>
  </si>
  <si>
    <r>
      <rPr>
        <sz val="10"/>
        <color rgb="FF2B2B2B"/>
        <rFont val="Noto Sans CJK SC"/>
        <family val="2"/>
      </rPr>
      <t xml:space="preserve">海外で発行されたカードは、郵便局の</t>
    </r>
    <r>
      <rPr>
        <sz val="10"/>
        <color rgb="FF2B2B2B"/>
        <rFont val="Yu Gothic"/>
        <family val="0"/>
        <charset val="1"/>
      </rPr>
      <t xml:space="preserve">ATM</t>
    </r>
    <r>
      <rPr>
        <sz val="10"/>
        <color rgb="FF2B2B2B"/>
        <rFont val="Noto Sans CJK SC"/>
        <family val="2"/>
      </rPr>
      <t xml:space="preserve">のみご利用いただけます。</t>
    </r>
    <r>
      <rPr>
        <b val="true"/>
        <sz val="10"/>
        <color rgb="FFB03A2E"/>
        <rFont val="Noto Sans CJK SC"/>
        <family val="2"/>
      </rPr>
      <t xml:space="preserve">この建物を出て右へ、歩いて</t>
    </r>
    <r>
      <rPr>
        <b val="true"/>
        <sz val="10"/>
        <color rgb="FFB03A2E"/>
        <rFont val="Yu Gothic"/>
        <family val="0"/>
        <charset val="1"/>
      </rPr>
      <t xml:space="preserve">20</t>
    </r>
    <r>
      <rPr>
        <sz val="10"/>
        <color rgb="FF2B2B2B"/>
        <rFont val="Noto Sans CJK SC"/>
        <family val="2"/>
      </rPr>
      <t xml:space="preserve">分ほどの</t>
    </r>
    <r>
      <rPr>
        <b val="true"/>
        <sz val="10"/>
        <color rgb="FFB03A2E"/>
        <rFont val="Noto Sans CJK SC"/>
        <family val="2"/>
      </rPr>
      <t xml:space="preserve">場所にございます</t>
    </r>
    <r>
      <rPr>
        <sz val="10"/>
        <color rgb="FF2B2B2B"/>
        <rFont val="Noto Sans CJK SC"/>
        <family val="2"/>
      </rPr>
      <t xml:space="preserve">。日本で発行されたカードは、</t>
    </r>
    <r>
      <rPr>
        <sz val="10"/>
        <color rgb="FF2B2B2B"/>
        <rFont val="Yu Gothic"/>
        <family val="0"/>
        <charset val="1"/>
      </rPr>
      <t xml:space="preserve">JA</t>
    </r>
    <r>
      <rPr>
        <sz val="10"/>
        <color rgb="FF2B2B2B"/>
        <rFont val="Noto Sans CJK SC"/>
        <family val="2"/>
      </rPr>
      <t xml:space="preserve">の</t>
    </r>
    <r>
      <rPr>
        <sz val="10"/>
        <color rgb="FF2B2B2B"/>
        <rFont val="Yu Gothic"/>
        <family val="0"/>
        <charset val="1"/>
      </rPr>
      <t xml:space="preserve">ATM</t>
    </r>
    <r>
      <rPr>
        <sz val="10"/>
        <color rgb="FF2B2B2B"/>
        <rFont val="Noto Sans CJK SC"/>
        <family val="2"/>
      </rPr>
      <t xml:space="preserve">をご利用いただけます。</t>
    </r>
    <r>
      <rPr>
        <b val="true"/>
        <sz val="10"/>
        <color rgb="FFB03A2E"/>
        <rFont val="Noto Sans CJK SC"/>
        <family val="2"/>
      </rPr>
      <t xml:space="preserve">この建物を出て左へ、歩いて</t>
    </r>
    <r>
      <rPr>
        <b val="true"/>
        <sz val="10"/>
        <color rgb="FFB03A2E"/>
        <rFont val="Yu Gothic"/>
        <family val="0"/>
        <charset val="1"/>
      </rPr>
      <t xml:space="preserve">2</t>
    </r>
    <r>
      <rPr>
        <b val="true"/>
        <sz val="10"/>
        <color rgb="FFB03A2E"/>
        <rFont val="Noto Sans CJK SC"/>
        <family val="2"/>
      </rPr>
      <t xml:space="preserve">分ほどの場所</t>
    </r>
    <r>
      <rPr>
        <sz val="10"/>
        <color rgb="FF2B2B2B"/>
        <rFont val="Noto Sans CJK SC"/>
        <family val="2"/>
      </rPr>
      <t xml:space="preserve">にございます。</t>
    </r>
  </si>
  <si>
    <r>
      <rPr>
        <sz val="10"/>
        <color rgb="FF2B2B2B"/>
        <rFont val="Noto Sans CJK SC"/>
        <family val="2"/>
      </rPr>
      <t xml:space="preserve">海外で発行された</t>
    </r>
    <r>
      <rPr>
        <b val="true"/>
        <sz val="10"/>
        <color rgb="FFB03A2E"/>
        <rFont val="Noto Sans CJK SC"/>
        <family val="2"/>
      </rPr>
      <t xml:space="preserve">クレジット</t>
    </r>
    <r>
      <rPr>
        <sz val="10"/>
        <color rgb="FF2B2B2B"/>
        <rFont val="Noto Sans CJK SC"/>
        <family val="2"/>
      </rPr>
      <t xml:space="preserve">カードは、郵便局の</t>
    </r>
    <r>
      <rPr>
        <sz val="10"/>
        <color rgb="FF2B2B2B"/>
        <rFont val="Yu Gothic"/>
        <family val="0"/>
        <charset val="1"/>
      </rPr>
      <t xml:space="preserve">ATM</t>
    </r>
    <r>
      <rPr>
        <sz val="10"/>
        <color rgb="FF2B2B2B"/>
        <rFont val="Noto Sans CJK SC"/>
        <family val="2"/>
      </rPr>
      <t xml:space="preserve">のみご利用いただけます。</t>
    </r>
    <r>
      <rPr>
        <b val="true"/>
        <sz val="10"/>
        <color rgb="FFB03A2E"/>
        <rFont val="Noto Sans CJK SC"/>
        <family val="2"/>
      </rPr>
      <t xml:space="preserve">一部ご利用になれないカードもあるようです。郵便局はここから車で</t>
    </r>
    <r>
      <rPr>
        <b val="true"/>
        <sz val="10"/>
        <color rgb="FFB03A2E"/>
        <rFont val="Yu Gothic"/>
        <family val="0"/>
        <charset val="1"/>
      </rPr>
      <t xml:space="preserve">5</t>
    </r>
    <r>
      <rPr>
        <sz val="10"/>
        <color rgb="FF2B2B2B"/>
        <rFont val="Noto Sans CJK SC"/>
        <family val="2"/>
      </rPr>
      <t xml:space="preserve">分ほどの</t>
    </r>
    <r>
      <rPr>
        <b val="true"/>
        <sz val="10"/>
        <color rgb="FFB03A2E"/>
        <rFont val="Noto Sans CJK SC"/>
        <family val="2"/>
      </rPr>
      <t xml:space="preserve">「鳩谷郵便局」をご利用ください</t>
    </r>
    <r>
      <rPr>
        <sz val="10"/>
        <color rgb="FF2B2B2B"/>
        <rFont val="Noto Sans CJK SC"/>
        <family val="2"/>
      </rPr>
      <t xml:space="preserve">。日本で発行された</t>
    </r>
    <r>
      <rPr>
        <b val="true"/>
        <sz val="10"/>
        <color rgb="FFB03A2E"/>
        <rFont val="Noto Sans CJK SC"/>
        <family val="2"/>
      </rPr>
      <t xml:space="preserve">キャッシュカードやクレジット</t>
    </r>
    <r>
      <rPr>
        <sz val="10"/>
        <color rgb="FF2B2B2B"/>
        <rFont val="Noto Sans CJK SC"/>
        <family val="2"/>
      </rPr>
      <t xml:space="preserve">カードは、</t>
    </r>
    <r>
      <rPr>
        <sz val="10"/>
        <color rgb="FF2B2B2B"/>
        <rFont val="Yu Gothic"/>
        <family val="0"/>
        <charset val="1"/>
      </rPr>
      <t xml:space="preserve">JA</t>
    </r>
    <r>
      <rPr>
        <sz val="10"/>
        <color rgb="FF2B2B2B"/>
        <rFont val="Noto Sans CJK SC"/>
        <family val="2"/>
      </rPr>
      <t xml:space="preserve">の</t>
    </r>
    <r>
      <rPr>
        <sz val="10"/>
        <color rgb="FF2B2B2B"/>
        <rFont val="Yu Gothic"/>
        <family val="0"/>
        <charset val="1"/>
      </rPr>
      <t xml:space="preserve">ATM</t>
    </r>
    <r>
      <rPr>
        <sz val="10"/>
        <color rgb="FF2B2B2B"/>
        <rFont val="Noto Sans CJK SC"/>
        <family val="2"/>
      </rPr>
      <t xml:space="preserve">をご利用いただけます。</t>
    </r>
    <r>
      <rPr>
        <b val="true"/>
        <sz val="10"/>
        <color rgb="FFB03A2E"/>
        <rFont val="Noto Sans CJK SC"/>
        <family val="2"/>
      </rPr>
      <t xml:space="preserve">和田家前、展望台行きシャトルバス乗り場の向かい</t>
    </r>
    <r>
      <rPr>
        <sz val="10"/>
        <color rgb="FF2B2B2B"/>
        <rFont val="Noto Sans CJK SC"/>
        <family val="2"/>
      </rPr>
      <t xml:space="preserve">にございます。</t>
    </r>
  </si>
  <si>
    <r>
      <rPr>
        <sz val="10"/>
        <color rgb="FF2B2B2B"/>
        <rFont val="Noto Sans CJK SC"/>
        <family val="2"/>
      </rPr>
      <t xml:space="preserve">海外のカードは鳩谷郵便局の</t>
    </r>
    <r>
      <rPr>
        <sz val="10"/>
        <color rgb="FF2B2B2B"/>
        <rFont val="Yu Gothic"/>
        <family val="0"/>
        <charset val="1"/>
      </rPr>
      <t xml:space="preserve">ATM</t>
    </r>
    <r>
      <rPr>
        <sz val="10"/>
        <color rgb="FF2B2B2B"/>
        <rFont val="Noto Sans CJK SC"/>
        <family val="2"/>
      </rPr>
      <t xml:space="preserve">、日本のカードは和田家前の</t>
    </r>
    <r>
      <rPr>
        <sz val="10"/>
        <color rgb="FF2B2B2B"/>
        <rFont val="Yu Gothic"/>
        <family val="0"/>
        <charset val="1"/>
      </rPr>
      <t xml:space="preserve">JA</t>
    </r>
    <r>
      <rPr>
        <sz val="10"/>
        <color rgb="FF2B2B2B"/>
        <rFont val="Noto Sans CJK SC"/>
        <family val="2"/>
      </rPr>
      <t xml:space="preserve">の</t>
    </r>
    <r>
      <rPr>
        <sz val="10"/>
        <color rgb="FF2B2B2B"/>
        <rFont val="Yu Gothic"/>
        <family val="0"/>
        <charset val="1"/>
      </rPr>
      <t xml:space="preserve">ATM</t>
    </r>
    <r>
      <rPr>
        <sz val="10"/>
        <color rgb="FF2B2B2B"/>
        <rFont val="Noto Sans CJK SC"/>
        <family val="2"/>
      </rPr>
      <t xml:space="preserve">をご利用ください。詳しくは画面をご覧ください。</t>
    </r>
  </si>
  <si>
    <t xml:space="preserve">◆道順が館ごとに違う。であいの館の読み上げ文はこちらで作成
回答欄を直接修正
読み上げ文をこちらで作成（未確認）</t>
  </si>
  <si>
    <t xml:space="preserve">bus_return</t>
  </si>
  <si>
    <t xml:space="preserve">帰り バス
帰り 乗り場
高速バス 乗り場</t>
  </si>
  <si>
    <t xml:space="preserve">バスを利用したお帰りの際は予約したバス。または当日の高速バスを利用しておかえりください。窓口にて当日券をお買い求めできます。</t>
  </si>
  <si>
    <t xml:space="preserve">（この館では案内しません）</t>
  </si>
  <si>
    <t xml:space="preserve">—</t>
  </si>
  <si>
    <t xml:space="preserve">currency_exchange</t>
  </si>
  <si>
    <t xml:space="preserve">両替
外貨
換金
小銭
両替 ロッカー</t>
  </si>
  <si>
    <r>
      <rPr>
        <b val="true"/>
        <sz val="10"/>
        <color rgb="FFB03A2E"/>
        <rFont val="Noto Sans CJK SC"/>
        <family val="2"/>
      </rPr>
      <t xml:space="preserve">外貨の両替は、お手洗い近くのエクスチェンジマシン</t>
    </r>
    <r>
      <rPr>
        <sz val="10"/>
        <color rgb="FF2B2B2B"/>
        <rFont val="Noto Sans CJK SC"/>
        <family val="2"/>
      </rPr>
      <t xml:space="preserve">をご利用ください。コインロッカーでお使いになる</t>
    </r>
    <r>
      <rPr>
        <b val="true"/>
        <sz val="10"/>
        <color rgb="FFB03A2E"/>
        <rFont val="Noto Sans CJK SC"/>
        <family val="2"/>
      </rPr>
      <t xml:space="preserve">小銭</t>
    </r>
    <r>
      <rPr>
        <sz val="10"/>
        <color rgb="FF2B2B2B"/>
        <rFont val="Noto Sans CJK SC"/>
        <family val="2"/>
      </rPr>
      <t xml:space="preserve">への両替は、窓口で承ります</t>
    </r>
    <r>
      <rPr>
        <b val="true"/>
        <sz val="10"/>
        <color rgb="FFB03A2E"/>
        <rFont val="Noto Sans CJK SC"/>
        <family val="2"/>
      </rPr>
      <t xml:space="preserve">。</t>
    </r>
  </si>
  <si>
    <r>
      <rPr>
        <b val="true"/>
        <sz val="10"/>
        <color rgb="FFB03A2E"/>
        <rFont val="Noto Sans CJK SC"/>
        <family val="2"/>
      </rPr>
      <t xml:space="preserve">紙幣のみ対応ですが、外貨両替は観光協会バスターミナルにある両替機</t>
    </r>
    <r>
      <rPr>
        <sz val="10"/>
        <color rgb="FF2B2B2B"/>
        <rFont val="Noto Sans CJK SC"/>
        <family val="2"/>
      </rPr>
      <t xml:space="preserve">をご利用ください。</t>
    </r>
    <r>
      <rPr>
        <b val="true"/>
        <sz val="10"/>
        <color rgb="FFB03A2E"/>
        <rFont val="Noto Sans CJK SC"/>
        <family val="2"/>
      </rPr>
      <t xml:space="preserve">（</t>
    </r>
    <r>
      <rPr>
        <sz val="10"/>
        <color rgb="FF2B2B2B"/>
        <rFont val="Noto Sans CJK SC"/>
        <family val="2"/>
      </rPr>
      <t xml:space="preserve">コインロッカーでお使いになる</t>
    </r>
    <r>
      <rPr>
        <b val="true"/>
        <sz val="10"/>
        <color rgb="FFB03A2E"/>
        <rFont val="Noto Sans CJK SC"/>
        <family val="2"/>
      </rPr>
      <t xml:space="preserve">日本円紙幣から日本円通貨</t>
    </r>
    <r>
      <rPr>
        <sz val="10"/>
        <color rgb="FF2B2B2B"/>
        <rFont val="Noto Sans CJK SC"/>
        <family val="2"/>
      </rPr>
      <t xml:space="preserve">への両替は、窓口で承ります</t>
    </r>
    <r>
      <rPr>
        <b val="true"/>
        <sz val="10"/>
        <color rgb="FFB03A2E"/>
        <rFont val="Noto Sans CJK SC"/>
        <family val="2"/>
      </rPr>
      <t xml:space="preserve">）</t>
    </r>
  </si>
  <si>
    <t xml:space="preserve">◆両替機の場所の案内が館で違う。であいの館は両替機が紙幣のみ対応であることを追加
回答欄を直接修正</t>
  </si>
  <si>
    <t xml:space="preserve">luggage</t>
  </si>
  <si>
    <t xml:space="preserve">荷物 預け
コインロッカー
ロッカー
スーツケース
手荷物
荷物 置き</t>
  </si>
  <si>
    <r>
      <rPr>
        <sz val="10"/>
        <color rgb="FF2B2B2B"/>
        <rFont val="Noto Sans CJK SC"/>
        <family val="2"/>
      </rPr>
      <t xml:space="preserve">コインロッカー</t>
    </r>
    <r>
      <rPr>
        <b val="true"/>
        <sz val="10"/>
        <color rgb="FFB03A2E"/>
        <rFont val="Noto Sans CJK SC"/>
        <family val="2"/>
      </rPr>
      <t xml:space="preserve">が</t>
    </r>
    <r>
      <rPr>
        <sz val="10"/>
        <color rgb="FF2B2B2B"/>
        <rFont val="Noto Sans CJK SC"/>
        <family val="2"/>
      </rPr>
      <t xml:space="preserve">ございます。</t>
    </r>
    <r>
      <rPr>
        <b val="true"/>
        <sz val="10"/>
        <color rgb="FFB03A2E"/>
        <rFont val="Noto Sans CJK SC"/>
        <family val="2"/>
      </rPr>
      <t xml:space="preserve">鍵が付いていないものは使用中です。満杯の場合は、近くのお宅でもお荷物をお預かりしております。どちらもいっぱいの場合は、窓口で臨時にお預かりしますのでお声がけください。</t>
    </r>
  </si>
  <si>
    <r>
      <rPr>
        <b val="true"/>
        <sz val="10"/>
        <color rgb="FFB03A2E"/>
        <rFont val="Noto Sans CJK SC"/>
        <family val="2"/>
      </rPr>
      <t xml:space="preserve">この駐車場や近隣に</t>
    </r>
    <r>
      <rPr>
        <sz val="10"/>
        <color rgb="FF2B2B2B"/>
        <rFont val="Noto Sans CJK SC"/>
        <family val="2"/>
      </rPr>
      <t xml:space="preserve">コインロッカー</t>
    </r>
    <r>
      <rPr>
        <b val="true"/>
        <sz val="10"/>
        <color rgb="FFB03A2E"/>
        <rFont val="Noto Sans CJK SC"/>
        <family val="2"/>
      </rPr>
      <t xml:space="preserve">はございません。バスターミナルには</t>
    </r>
    <r>
      <rPr>
        <sz val="10"/>
        <color rgb="FF2B2B2B"/>
        <rFont val="Noto Sans CJK SC"/>
        <family val="2"/>
      </rPr>
      <t xml:space="preserve">ございます。</t>
    </r>
  </si>
  <si>
    <r>
      <rPr>
        <sz val="10"/>
        <color rgb="FF2B2B2B"/>
        <rFont val="Noto Sans CJK SC"/>
        <family val="2"/>
      </rPr>
      <t xml:space="preserve">◆コインロッカーがあるのはバスターミナルのみ。バスターミナル版は</t>
    </r>
    <r>
      <rPr>
        <sz val="10"/>
        <color rgb="FF2B2B2B"/>
        <rFont val="Yu Gothic"/>
        <family val="0"/>
        <charset val="1"/>
      </rPr>
      <t xml:space="preserve">11</t>
    </r>
    <r>
      <rPr>
        <sz val="10"/>
        <color rgb="FF2B2B2B"/>
        <rFont val="Noto Sans CJK SC"/>
        <family val="2"/>
      </rPr>
      <t xml:space="preserve">月の入れ替えまで保留
回答欄を直接修正</t>
    </r>
  </si>
  <si>
    <t xml:space="preserve">parking_payment</t>
  </si>
  <si>
    <t xml:space="preserve">駐車場 料金
駐車場 支払
駐車 いくら
駐車場 カード
駐車料金</t>
  </si>
  <si>
    <r>
      <rPr>
        <sz val="10"/>
        <color rgb="FF2B2B2B"/>
        <rFont val="Noto Sans CJK SC"/>
        <family val="2"/>
      </rPr>
      <t xml:space="preserve">駐車場の利用料金は、出庫時に精算機でお支払いください。なお、駐車券はありません。一万円札など現金はもちろんクレジットカード、</t>
    </r>
    <r>
      <rPr>
        <sz val="10"/>
        <color rgb="FF2B2B2B"/>
        <rFont val="Yu Gothic"/>
        <family val="0"/>
        <charset val="1"/>
      </rPr>
      <t xml:space="preserve">QR</t>
    </r>
    <r>
      <rPr>
        <sz val="10"/>
        <color rgb="FF2B2B2B"/>
        <rFont val="Noto Sans CJK SC"/>
        <family val="2"/>
      </rPr>
      <t xml:space="preserve">コード決済、交通系</t>
    </r>
    <r>
      <rPr>
        <sz val="10"/>
        <color rgb="FF2B2B2B"/>
        <rFont val="Yu Gothic"/>
        <family val="0"/>
        <charset val="1"/>
      </rPr>
      <t xml:space="preserve">IC</t>
    </r>
    <r>
      <rPr>
        <sz val="10"/>
        <color rgb="FF2B2B2B"/>
        <rFont val="Noto Sans CJK SC"/>
        <family val="2"/>
      </rPr>
      <t xml:space="preserve">カードもご利用いただけます。</t>
    </r>
  </si>
  <si>
    <t xml:space="preserve">【決定】であいの館の文章にそろえた
回答欄を直接修正</t>
  </si>
  <si>
    <t xml:space="preserve">stamp</t>
  </si>
  <si>
    <t xml:space="preserve">スタンプ
記念 スタンプ
御朱印
切手
スタンプ ある</t>
  </si>
  <si>
    <r>
      <rPr>
        <sz val="10"/>
        <color rgb="FF2B2B2B"/>
        <rFont val="Noto Sans CJK SC"/>
        <family val="2"/>
      </rPr>
      <t xml:space="preserve">スタンプは</t>
    </r>
    <r>
      <rPr>
        <b val="true"/>
        <sz val="10"/>
        <color rgb="FFB03A2E"/>
        <rFont val="Noto Sans CJK SC"/>
        <family val="2"/>
      </rPr>
      <t xml:space="preserve">机の</t>
    </r>
    <r>
      <rPr>
        <sz val="10"/>
        <color rgb="FF2B2B2B"/>
        <rFont val="Noto Sans CJK SC"/>
        <family val="2"/>
      </rPr>
      <t xml:space="preserve">上にご用意しております。切手</t>
    </r>
    <r>
      <rPr>
        <b val="true"/>
        <sz val="10"/>
        <color rgb="FFB03A2E"/>
        <rFont val="Noto Sans CJK SC"/>
        <family val="2"/>
      </rPr>
      <t xml:space="preserve">は窓口で取り扱っております。御朱印は行っており</t>
    </r>
    <r>
      <rPr>
        <sz val="10"/>
        <color rgb="FF2B2B2B"/>
        <rFont val="Noto Sans CJK SC"/>
        <family val="2"/>
      </rPr>
      <t xml:space="preserve">ません。</t>
    </r>
  </si>
  <si>
    <r>
      <rPr>
        <b val="true"/>
        <sz val="10"/>
        <color rgb="FFB03A2E"/>
        <rFont val="Noto Sans CJK SC"/>
        <family val="2"/>
      </rPr>
      <t xml:space="preserve">記念</t>
    </r>
    <r>
      <rPr>
        <sz val="10"/>
        <color rgb="FF2B2B2B"/>
        <rFont val="Noto Sans CJK SC"/>
        <family val="2"/>
      </rPr>
      <t xml:space="preserve">スタンプは</t>
    </r>
    <r>
      <rPr>
        <b val="true"/>
        <sz val="10"/>
        <color rgb="FFB03A2E"/>
        <rFont val="Noto Sans CJK SC"/>
        <family val="2"/>
      </rPr>
      <t xml:space="preserve">窓口机</t>
    </r>
    <r>
      <rPr>
        <sz val="10"/>
        <color rgb="FF2B2B2B"/>
        <rFont val="Noto Sans CJK SC"/>
        <family val="2"/>
      </rPr>
      <t xml:space="preserve">上にご用意しております。切手</t>
    </r>
    <r>
      <rPr>
        <b val="true"/>
        <sz val="10"/>
        <color rgb="FFB03A2E"/>
        <rFont val="Noto Sans CJK SC"/>
        <family val="2"/>
      </rPr>
      <t xml:space="preserve">や御朱印の取扱いはござい</t>
    </r>
    <r>
      <rPr>
        <sz val="10"/>
        <color rgb="FF2B2B2B"/>
        <rFont val="Noto Sans CJK SC"/>
        <family val="2"/>
      </rPr>
      <t xml:space="preserve">ません。</t>
    </r>
  </si>
  <si>
    <t xml:space="preserve">◆切手の扱いが館で違う（バスターミナル：窓口で取り扱い／であいの館：取り扱いなし）
回答欄を直接修正</t>
  </si>
  <si>
    <t xml:space="preserve">admission_fee</t>
  </si>
  <si>
    <t xml:space="preserve">観光・見学</t>
  </si>
  <si>
    <t xml:space="preserve">入場料
入村料
拝観料
お金 かかり
フリーパス
集落 料金</t>
  </si>
  <si>
    <t xml:space="preserve">入村料をお支払いいただく必要はありませんが、駐車料金の一部は合掌集落の保全に役立てられています。また合掌集落内の見学施設に入るときには、それぞれの入館料をその場でお支払いいただきます。施設はそれぞれ個別に営業しており、フリーパスのようなチケットはございません。</t>
  </si>
  <si>
    <t xml:space="preserve">入村料はありませんが、駐車料金の一部は合掌集落の保全に役立てられています。</t>
  </si>
  <si>
    <t xml:space="preserve">mountain_names</t>
  </si>
  <si>
    <t xml:space="preserve">山 名前
あの山
向こう 山
白山
山 何
山 なんて</t>
  </si>
  <si>
    <t xml:space="preserve">正面に見えるのは三方岩岳、野谷荘司山、猪臥山などです。展望台からは白山も少しご覧いただけます。</t>
  </si>
  <si>
    <t xml:space="preserve">observatory_access</t>
  </si>
  <si>
    <t xml:space="preserve">展望台 行き方
展望台 どうやって
展望台 歩い
城山 展望台
展望台 行く</t>
  </si>
  <si>
    <r>
      <rPr>
        <sz val="10"/>
        <color rgb="FF2B2B2B"/>
        <rFont val="Noto Sans CJK SC"/>
        <family val="2"/>
      </rPr>
      <t xml:space="preserve">展望台へは、</t>
    </r>
    <r>
      <rPr>
        <b val="true"/>
        <sz val="10"/>
        <color rgb="FFB03A2E"/>
        <rFont val="Noto Sans CJK SC"/>
        <family val="2"/>
      </rPr>
      <t xml:space="preserve">歩きと</t>
    </r>
    <r>
      <rPr>
        <sz val="10"/>
        <color rgb="FF2B2B2B"/>
        <rFont val="Noto Sans CJK SC"/>
        <family val="2"/>
      </rPr>
      <t xml:space="preserve">シャトルバス</t>
    </r>
    <r>
      <rPr>
        <b val="true"/>
        <sz val="10"/>
        <color rgb="FFB03A2E"/>
        <rFont val="Noto Sans CJK SC"/>
        <family val="2"/>
      </rPr>
      <t xml:space="preserve">の</t>
    </r>
    <r>
      <rPr>
        <b val="true"/>
        <sz val="10"/>
        <color rgb="FFB03A2E"/>
        <rFont val="Yu Gothic"/>
        <family val="0"/>
        <charset val="1"/>
      </rPr>
      <t xml:space="preserve">2</t>
    </r>
    <r>
      <rPr>
        <b val="true"/>
        <sz val="10"/>
        <color rgb="FFB03A2E"/>
        <rFont val="Noto Sans CJK SC"/>
        <family val="2"/>
      </rPr>
      <t xml:space="preserve">通りがあります。遊歩道を歩く場合は、</t>
    </r>
    <r>
      <rPr>
        <sz val="10"/>
        <color rgb="FF2B2B2B"/>
        <rFont val="Noto Sans CJK SC"/>
        <family val="2"/>
      </rPr>
      <t xml:space="preserve">この建物</t>
    </r>
    <r>
      <rPr>
        <b val="true"/>
        <sz val="10"/>
        <color rgb="FFB03A2E"/>
        <rFont val="Noto Sans CJK SC"/>
        <family val="2"/>
      </rPr>
      <t xml:space="preserve">を</t>
    </r>
    <r>
      <rPr>
        <sz val="10"/>
        <color rgb="FF2B2B2B"/>
        <rFont val="Noto Sans CJK SC"/>
        <family val="2"/>
      </rPr>
      <t xml:space="preserve">出て左へ</t>
    </r>
    <r>
      <rPr>
        <b val="true"/>
        <sz val="10"/>
        <color rgb="FFB03A2E"/>
        <rFont val="Yu Gothic"/>
        <family val="0"/>
        <charset val="1"/>
      </rPr>
      <t xml:space="preserve">2</t>
    </r>
    <r>
      <rPr>
        <sz val="10"/>
        <color rgb="FF2B2B2B"/>
        <rFont val="Noto Sans CJK SC"/>
        <family val="2"/>
      </rPr>
      <t xml:space="preserve">分ほど進</t>
    </r>
    <r>
      <rPr>
        <b val="true"/>
        <sz val="10"/>
        <color rgb="FFB03A2E"/>
        <rFont val="Noto Sans CJK SC"/>
        <family val="2"/>
      </rPr>
      <t xml:space="preserve">み、白水園という飲食店のところを左に曲がります。和田家を右手に進むと、突き当りに左へ上る道があり、およそ</t>
    </r>
    <r>
      <rPr>
        <b val="true"/>
        <sz val="10"/>
        <color rgb="FFB03A2E"/>
        <rFont val="Yu Gothic"/>
        <family val="0"/>
        <charset val="1"/>
      </rPr>
      <t xml:space="preserve">20</t>
    </r>
    <r>
      <rPr>
        <b val="true"/>
        <sz val="10"/>
        <color rgb="FFB03A2E"/>
        <rFont val="Noto Sans CJK SC"/>
        <family val="2"/>
      </rPr>
      <t xml:space="preserve">分で着きます。山道を歩く場合は、この建物を出て右へ進み、国道</t>
    </r>
    <r>
      <rPr>
        <b val="true"/>
        <sz val="10"/>
        <color rgb="FFB03A2E"/>
        <rFont val="Yu Gothic"/>
        <family val="0"/>
        <charset val="1"/>
      </rPr>
      <t xml:space="preserve">360</t>
    </r>
    <r>
      <rPr>
        <b val="true"/>
        <sz val="10"/>
        <color rgb="FFB03A2E"/>
        <rFont val="Noto Sans CJK SC"/>
        <family val="2"/>
      </rPr>
      <t xml:space="preserve">号線に入ってすぐの階段を登ると城跡展望台に着きます。</t>
    </r>
    <r>
      <rPr>
        <sz val="10"/>
        <color rgb="FF2B2B2B"/>
        <rFont val="Noto Sans CJK SC"/>
        <family val="2"/>
      </rPr>
      <t xml:space="preserve">シャトルバス</t>
    </r>
    <r>
      <rPr>
        <b val="true"/>
        <sz val="10"/>
        <color rgb="FFB03A2E"/>
        <rFont val="Noto Sans CJK SC"/>
        <family val="2"/>
      </rPr>
      <t xml:space="preserve">の場合は、この建物を出て左へ</t>
    </r>
    <r>
      <rPr>
        <b val="true"/>
        <sz val="10"/>
        <color rgb="FFB03A2E"/>
        <rFont val="Yu Gothic"/>
        <family val="0"/>
        <charset val="1"/>
      </rPr>
      <t xml:space="preserve">2</t>
    </r>
    <r>
      <rPr>
        <b val="true"/>
        <sz val="10"/>
        <color rgb="FFB03A2E"/>
        <rFont val="Noto Sans CJK SC"/>
        <family val="2"/>
      </rPr>
      <t xml:space="preserve">分ほどの、和田家のすいれん池前のバス停から</t>
    </r>
    <r>
      <rPr>
        <sz val="10"/>
        <color rgb="FF2B2B2B"/>
        <rFont val="Noto Sans CJK SC"/>
        <family val="2"/>
      </rPr>
      <t xml:space="preserve">ご乗車ください。</t>
    </r>
  </si>
  <si>
    <r>
      <rPr>
        <sz val="10"/>
        <color rgb="FF2B2B2B"/>
        <rFont val="Noto Sans CJK SC"/>
        <family val="2"/>
      </rPr>
      <t xml:space="preserve">展望台へは、</t>
    </r>
    <r>
      <rPr>
        <b val="true"/>
        <sz val="10"/>
        <color rgb="FFB03A2E"/>
        <rFont val="Noto Sans CJK SC"/>
        <family val="2"/>
      </rPr>
      <t xml:space="preserve">有料</t>
    </r>
    <r>
      <rPr>
        <sz val="10"/>
        <color rgb="FF2B2B2B"/>
        <rFont val="Noto Sans CJK SC"/>
        <family val="2"/>
      </rPr>
      <t xml:space="preserve">シャトルバス</t>
    </r>
    <r>
      <rPr>
        <b val="true"/>
        <sz val="10"/>
        <color rgb="FFB03A2E"/>
        <rFont val="Noto Sans CJK SC"/>
        <family val="2"/>
      </rPr>
      <t xml:space="preserve">が便利です。</t>
    </r>
    <r>
      <rPr>
        <sz val="10"/>
        <color rgb="FF2B2B2B"/>
        <rFont val="Noto Sans CJK SC"/>
        <family val="2"/>
      </rPr>
      <t xml:space="preserve">この建物</t>
    </r>
    <r>
      <rPr>
        <b val="true"/>
        <sz val="10"/>
        <color rgb="FFB03A2E"/>
        <rFont val="Noto Sans CJK SC"/>
        <family val="2"/>
      </rPr>
      <t xml:space="preserve">の目の前の橋を渡り、大通りに</t>
    </r>
    <r>
      <rPr>
        <sz val="10"/>
        <color rgb="FF2B2B2B"/>
        <rFont val="Noto Sans CJK SC"/>
        <family val="2"/>
      </rPr>
      <t xml:space="preserve">出て左へ</t>
    </r>
    <r>
      <rPr>
        <b val="true"/>
        <sz val="10"/>
        <color rgb="FFB03A2E"/>
        <rFont val="Yu Gothic"/>
        <family val="0"/>
        <charset val="1"/>
      </rPr>
      <t xml:space="preserve">10</t>
    </r>
    <r>
      <rPr>
        <sz val="10"/>
        <color rgb="FF2B2B2B"/>
        <rFont val="Noto Sans CJK SC"/>
        <family val="2"/>
      </rPr>
      <t xml:space="preserve">分ほど進</t>
    </r>
    <r>
      <rPr>
        <b val="true"/>
        <sz val="10"/>
        <color rgb="FFB03A2E"/>
        <rFont val="Noto Sans CJK SC"/>
        <family val="2"/>
      </rPr>
      <t xml:space="preserve">むと、和田家の前にバス停がございます。そちらから</t>
    </r>
    <r>
      <rPr>
        <sz val="10"/>
        <color rgb="FF2B2B2B"/>
        <rFont val="Noto Sans CJK SC"/>
        <family val="2"/>
      </rPr>
      <t xml:space="preserve">シャトルバス</t>
    </r>
    <r>
      <rPr>
        <b val="true"/>
        <sz val="10"/>
        <color rgb="FFB03A2E"/>
        <rFont val="Noto Sans CJK SC"/>
        <family val="2"/>
      </rPr>
      <t xml:space="preserve">に</t>
    </r>
    <r>
      <rPr>
        <sz val="10"/>
        <color rgb="FF2B2B2B"/>
        <rFont val="Noto Sans CJK SC"/>
        <family val="2"/>
      </rPr>
      <t xml:space="preserve">ご乗車ください。</t>
    </r>
    <r>
      <rPr>
        <b val="true"/>
        <sz val="10"/>
        <color rgb="FFB03A2E"/>
        <rFont val="Noto Sans CJK SC"/>
        <family val="2"/>
      </rPr>
      <t xml:space="preserve">または山際沿いに歩いて登ることのできるルートもあり、ここから</t>
    </r>
    <r>
      <rPr>
        <b val="true"/>
        <sz val="10"/>
        <color rgb="FFB03A2E"/>
        <rFont val="Yu Gothic"/>
        <family val="0"/>
        <charset val="1"/>
      </rPr>
      <t xml:space="preserve">30</t>
    </r>
    <r>
      <rPr>
        <b val="true"/>
        <sz val="10"/>
        <color rgb="FFB03A2E"/>
        <rFont val="Noto Sans CJK SC"/>
        <family val="2"/>
      </rPr>
      <t xml:space="preserve">～</t>
    </r>
    <r>
      <rPr>
        <b val="true"/>
        <sz val="10"/>
        <color rgb="FFB03A2E"/>
        <rFont val="Yu Gothic"/>
        <family val="0"/>
        <charset val="1"/>
      </rPr>
      <t xml:space="preserve">40</t>
    </r>
    <r>
      <rPr>
        <b val="true"/>
        <sz val="10"/>
        <color rgb="FFB03A2E"/>
        <rFont val="Noto Sans CJK SC"/>
        <family val="2"/>
      </rPr>
      <t xml:space="preserve">分ほどで行くことができます。</t>
    </r>
  </si>
  <si>
    <r>
      <rPr>
        <sz val="10"/>
        <color rgb="FF2B2B2B"/>
        <rFont val="Noto Sans CJK SC"/>
        <family val="2"/>
      </rPr>
      <t xml:space="preserve">展望台へは、</t>
    </r>
    <r>
      <rPr>
        <b val="true"/>
        <sz val="10"/>
        <color rgb="FFB03A2E"/>
        <rFont val="Noto Sans CJK SC"/>
        <family val="2"/>
      </rPr>
      <t xml:space="preserve">歩いておよそ</t>
    </r>
    <r>
      <rPr>
        <b val="true"/>
        <sz val="10"/>
        <color rgb="FFB03A2E"/>
        <rFont val="Yu Gothic"/>
        <family val="0"/>
        <charset val="1"/>
      </rPr>
      <t xml:space="preserve">20</t>
    </r>
    <r>
      <rPr>
        <b val="true"/>
        <sz val="10"/>
        <color rgb="FFB03A2E"/>
        <rFont val="Noto Sans CJK SC"/>
        <family val="2"/>
      </rPr>
      <t xml:space="preserve">分、または</t>
    </r>
    <r>
      <rPr>
        <sz val="10"/>
        <color rgb="FF2B2B2B"/>
        <rFont val="Noto Sans CJK SC"/>
        <family val="2"/>
      </rPr>
      <t xml:space="preserve">シャトルバス</t>
    </r>
    <r>
      <rPr>
        <b val="true"/>
        <sz val="10"/>
        <color rgb="FFB03A2E"/>
        <rFont val="Noto Sans CJK SC"/>
        <family val="2"/>
      </rPr>
      <t xml:space="preserve">でお越しいただけます。詳しい道順は画面をご覧ください。</t>
    </r>
  </si>
  <si>
    <r>
      <rPr>
        <sz val="10"/>
        <color rgb="FF2B2B2B"/>
        <rFont val="Noto Sans CJK SC"/>
        <family val="2"/>
      </rPr>
      <t xml:space="preserve">展望台へは、</t>
    </r>
    <r>
      <rPr>
        <b val="true"/>
        <sz val="10"/>
        <color rgb="FFB03A2E"/>
        <rFont val="Noto Sans CJK SC"/>
        <family val="2"/>
      </rPr>
      <t xml:space="preserve">目の前の橋を渡り、大通りを左へ</t>
    </r>
    <r>
      <rPr>
        <b val="true"/>
        <sz val="10"/>
        <color rgb="FFB03A2E"/>
        <rFont val="Yu Gothic"/>
        <family val="0"/>
        <charset val="1"/>
      </rPr>
      <t xml:space="preserve">15</t>
    </r>
    <r>
      <rPr>
        <b val="true"/>
        <sz val="10"/>
        <color rgb="FFB03A2E"/>
        <rFont val="Noto Sans CJK SC"/>
        <family val="2"/>
      </rPr>
      <t xml:space="preserve">分ほど進んだ池の前のバス停から、</t>
    </r>
    <r>
      <rPr>
        <sz val="10"/>
        <color rgb="FF2B2B2B"/>
        <rFont val="Noto Sans CJK SC"/>
        <family val="2"/>
      </rPr>
      <t xml:space="preserve">シャトルバス</t>
    </r>
    <r>
      <rPr>
        <b val="true"/>
        <sz val="10"/>
        <color rgb="FFB03A2E"/>
        <rFont val="Noto Sans CJK SC"/>
        <family val="2"/>
      </rPr>
      <t xml:space="preserve">が出ています。</t>
    </r>
  </si>
  <si>
    <t xml:space="preserve">◆道順が館ごとに違う
修正欄の文章に差し替え
回答欄を直接修正</t>
  </si>
  <si>
    <t xml:space="preserve">shuyu_time</t>
  </si>
  <si>
    <t xml:space="preserve">村内 どのくらい
周遊 時間
何時間 かかる
見学 時間
回る 時間
どう回れ
見て回る
回り方</t>
  </si>
  <si>
    <r>
      <rPr>
        <sz val="10"/>
        <color rgb="FF2B2B2B"/>
        <rFont val="Noto Sans CJK SC"/>
        <family val="2"/>
      </rPr>
      <t xml:space="preserve">とても小さな集落ですので、歩いてお回りいただけます。お食事を入れても</t>
    </r>
    <r>
      <rPr>
        <sz val="10"/>
        <color rgb="FF2B2B2B"/>
        <rFont val="Yu Gothic"/>
        <family val="0"/>
        <charset val="1"/>
      </rPr>
      <t xml:space="preserve">2</t>
    </r>
    <r>
      <rPr>
        <sz val="10"/>
        <color rgb="FF2B2B2B"/>
        <rFont val="Noto Sans CJK SC"/>
        <family val="2"/>
      </rPr>
      <t xml:space="preserve">時間から</t>
    </r>
    <r>
      <rPr>
        <sz val="10"/>
        <color rgb="FF2B2B2B"/>
        <rFont val="Yu Gothic"/>
        <family val="0"/>
        <charset val="1"/>
      </rPr>
      <t xml:space="preserve">3</t>
    </r>
    <r>
      <rPr>
        <sz val="10"/>
        <color rgb="FF2B2B2B"/>
        <rFont val="Noto Sans CJK SC"/>
        <family val="2"/>
      </rPr>
      <t xml:space="preserve">時間で全体をご覧いただけます。目のマークが付いている場所が見学施設です。</t>
    </r>
  </si>
  <si>
    <t xml:space="preserve">回答欄を直接修正
【決定】バスターミナルの文章にそろえた</t>
  </si>
  <si>
    <t xml:space="preserve">waterfall_lake</t>
  </si>
  <si>
    <t xml:space="preserve">白水湖
滝 行き
白水
滝 どうやって
白水湖 行き方</t>
  </si>
  <si>
    <t xml:space="preserve">白水の滝と白水湖へは、自家用車でないと行くことができません。また、大雨により通行制限されている場合がありますのでご注意ください。詳しくはシラカワ・ゴーイングをご覧ください。</t>
  </si>
  <si>
    <r>
      <rPr>
        <sz val="10"/>
        <color rgb="FF2B2B2B"/>
        <rFont val="Noto Sans CJK SC"/>
        <family val="2"/>
      </rPr>
      <t xml:space="preserve">リンク：</t>
    </r>
    <r>
      <rPr>
        <sz val="10"/>
        <color rgb="FF2B2B2B"/>
        <rFont val="Yu Gothic"/>
        <family val="0"/>
        <charset val="1"/>
      </rPr>
      <t xml:space="preserve">https://shirakawa-going.jp/</t>
    </r>
  </si>
  <si>
    <t xml:space="preserve">【決定】であいの館の文章（通行制限の注意・シラカワ・ゴーイング）に統一
回答欄を直接修正
【決定】参考リンクにシラカワ・ゴーイングを追加</t>
  </si>
  <si>
    <t xml:space="preserve">halal_vegetarian</t>
  </si>
  <si>
    <t xml:space="preserve">食事</t>
  </si>
  <si>
    <r>
      <rPr>
        <sz val="10"/>
        <color rgb="FF2B2B2B"/>
        <rFont val="Noto Sans CJK SC"/>
        <family val="2"/>
      </rPr>
      <t xml:space="preserve">ハラール
ベジタリアン
菜食
肉 食べられ
</t>
    </r>
    <r>
      <rPr>
        <sz val="10"/>
        <color rgb="FF2B2B2B"/>
        <rFont val="Yu Gothic"/>
        <family val="0"/>
        <charset val="1"/>
      </rPr>
      <t xml:space="preserve">vegetarian
halal</t>
    </r>
  </si>
  <si>
    <t xml:space="preserve">ハラール対応のお食事はご用意がございません。ベジタリアンの方には、お肉を使わない朴葉味噌、岩魚料理、豆腐料理がございます。</t>
  </si>
  <si>
    <t xml:space="preserve">recommended_food</t>
  </si>
  <si>
    <t xml:space="preserve">おすすめ 食べ物
名物
郷土料理
何 食べ
名物 料理
おすすめ 料理</t>
  </si>
  <si>
    <t xml:space="preserve">郷土料理は朴葉味噌定食です。飛騨牛や山菜、岩魚、ニジマス、石豆腐のお料理もございます。</t>
  </si>
  <si>
    <t xml:space="preserve">修正欄の文章に差し替え
【決定】両館の料理の例を合わせた文章に統一
回答欄を直接修正</t>
  </si>
  <si>
    <t xml:space="preserve">accessible_parking</t>
  </si>
  <si>
    <t xml:space="preserve">バリアフリー</t>
  </si>
  <si>
    <t xml:space="preserve">障害者 駐車場
障がい者 駐車
車椅子 駐車場
身障者 駐車
障害者用 駐車</t>
  </si>
  <si>
    <r>
      <rPr>
        <sz val="10"/>
        <color rgb="FF2B2B2B"/>
        <rFont val="Noto Sans CJK SC"/>
        <family val="2"/>
      </rPr>
      <t xml:space="preserve">身体障害者</t>
    </r>
    <r>
      <rPr>
        <b val="true"/>
        <sz val="10"/>
        <color rgb="FFB03A2E"/>
        <rFont val="Noto Sans CJK SC"/>
        <family val="2"/>
      </rPr>
      <t xml:space="preserve">用の</t>
    </r>
    <r>
      <rPr>
        <sz val="10"/>
        <color rgb="FF2B2B2B"/>
        <rFont val="Noto Sans CJK SC"/>
        <family val="2"/>
      </rPr>
      <t xml:space="preserve">駐車スペースは、</t>
    </r>
    <r>
      <rPr>
        <b val="true"/>
        <sz val="10"/>
        <color rgb="FFB03A2E"/>
        <rFont val="Noto Sans CJK SC"/>
        <family val="2"/>
      </rPr>
      <t xml:space="preserve">白川郷バスターミナル内に</t>
    </r>
    <r>
      <rPr>
        <b val="true"/>
        <sz val="10"/>
        <color rgb="FFB03A2E"/>
        <rFont val="Yu Gothic"/>
        <family val="0"/>
        <charset val="1"/>
      </rPr>
      <t xml:space="preserve">2</t>
    </r>
    <r>
      <rPr>
        <sz val="10"/>
        <color rgb="FF2B2B2B"/>
        <rFont val="Noto Sans CJK SC"/>
        <family val="2"/>
      </rPr>
      <t xml:space="preserve">台ございます。</t>
    </r>
    <r>
      <rPr>
        <b val="true"/>
        <sz val="10"/>
        <color rgb="FFB03A2E"/>
        <rFont val="Noto Sans CJK SC"/>
        <family val="2"/>
      </rPr>
      <t xml:space="preserve">障害者手帳をお持ちの方、</t>
    </r>
    <r>
      <rPr>
        <sz val="10"/>
        <color rgb="FF2B2B2B"/>
        <rFont val="Noto Sans CJK SC"/>
        <family val="2"/>
      </rPr>
      <t xml:space="preserve">車椅子をご予約の方、または持参されるなど足の不自由な方を優先しております。ご利用時間は午前</t>
    </r>
    <r>
      <rPr>
        <sz val="10"/>
        <color rgb="FF2B2B2B"/>
        <rFont val="Yu Gothic"/>
        <family val="0"/>
        <charset val="1"/>
      </rPr>
      <t xml:space="preserve">8</t>
    </r>
    <r>
      <rPr>
        <sz val="10"/>
        <color rgb="FF2B2B2B"/>
        <rFont val="Noto Sans CJK SC"/>
        <family val="2"/>
      </rPr>
      <t xml:space="preserve">時から午後</t>
    </r>
    <r>
      <rPr>
        <sz val="10"/>
        <color rgb="FF2B2B2B"/>
        <rFont val="Yu Gothic"/>
        <family val="0"/>
        <charset val="1"/>
      </rPr>
      <t xml:space="preserve">5</t>
    </r>
    <r>
      <rPr>
        <sz val="10"/>
        <color rgb="FF2B2B2B"/>
        <rFont val="Noto Sans CJK SC"/>
        <family val="2"/>
      </rPr>
      <t xml:space="preserve">時まで、駐車料金は</t>
    </r>
    <r>
      <rPr>
        <sz val="10"/>
        <color rgb="FF2B2B2B"/>
        <rFont val="Yu Gothic"/>
        <family val="0"/>
        <charset val="1"/>
      </rPr>
      <t xml:space="preserve">1</t>
    </r>
    <r>
      <rPr>
        <sz val="10"/>
        <color rgb="FF2B2B2B"/>
        <rFont val="Noto Sans CJK SC"/>
        <family val="2"/>
      </rPr>
      <t xml:space="preserve">台</t>
    </r>
    <r>
      <rPr>
        <sz val="10"/>
        <color rgb="FF2B2B2B"/>
        <rFont val="Yu Gothic"/>
        <family val="0"/>
        <charset val="1"/>
      </rPr>
      <t xml:space="preserve">2000</t>
    </r>
    <r>
      <rPr>
        <sz val="10"/>
        <color rgb="FF2B2B2B"/>
        <rFont val="Noto Sans CJK SC"/>
        <family val="2"/>
      </rPr>
      <t xml:space="preserve">円で、障がい者割引はございません。</t>
    </r>
    <r>
      <rPr>
        <b val="true"/>
        <sz val="10"/>
        <color rgb="FFB03A2E"/>
        <rFont val="Noto Sans CJK SC"/>
        <family val="2"/>
      </rPr>
      <t xml:space="preserve">ご利用の際は、白川郷バスターミナル内の観光協会窓口へ直接お越しください。</t>
    </r>
    <r>
      <rPr>
        <sz val="10"/>
        <color rgb="FF2B2B2B"/>
        <rFont val="Noto Sans CJK SC"/>
        <family val="2"/>
      </rPr>
      <t xml:space="preserve">スペース</t>
    </r>
    <r>
      <rPr>
        <b val="true"/>
        <sz val="10"/>
        <color rgb="FFB03A2E"/>
        <rFont val="Noto Sans CJK SC"/>
        <family val="2"/>
      </rPr>
      <t xml:space="preserve">が少ないため、</t>
    </r>
    <r>
      <rPr>
        <sz val="10"/>
        <color rgb="FF2B2B2B"/>
        <rFont val="Noto Sans CJK SC"/>
        <family val="2"/>
      </rPr>
      <t xml:space="preserve">満車の場合はお断りすることがございます。</t>
    </r>
  </si>
  <si>
    <r>
      <rPr>
        <sz val="10"/>
        <color rgb="FF2B2B2B"/>
        <rFont val="Noto Sans CJK SC"/>
        <family val="2"/>
      </rPr>
      <t xml:space="preserve">身体障害者</t>
    </r>
    <r>
      <rPr>
        <b val="true"/>
        <sz val="10"/>
        <color rgb="FFB03A2E"/>
        <rFont val="Noto Sans CJK SC"/>
        <family val="2"/>
      </rPr>
      <t xml:space="preserve">車いす用</t>
    </r>
    <r>
      <rPr>
        <sz val="10"/>
        <color rgb="FF2B2B2B"/>
        <rFont val="Noto Sans CJK SC"/>
        <family val="2"/>
      </rPr>
      <t xml:space="preserve">駐車スペースは、</t>
    </r>
    <r>
      <rPr>
        <b val="true"/>
        <sz val="10"/>
        <color rgb="FFB03A2E"/>
        <rFont val="Noto Sans CJK SC"/>
        <family val="2"/>
      </rPr>
      <t xml:space="preserve">せせらぎ公園駐車場内に５</t>
    </r>
    <r>
      <rPr>
        <sz val="10"/>
        <color rgb="FF2B2B2B"/>
        <rFont val="Noto Sans CJK SC"/>
        <family val="2"/>
      </rPr>
      <t xml:space="preserve">台ございます。車椅子をご予約の方、または持参されるなど足の不自由な方を優先しております。ご利用時間は午前</t>
    </r>
    <r>
      <rPr>
        <sz val="10"/>
        <color rgb="FF2B2B2B"/>
        <rFont val="Yu Gothic"/>
        <family val="0"/>
        <charset val="1"/>
      </rPr>
      <t xml:space="preserve">8</t>
    </r>
    <r>
      <rPr>
        <sz val="10"/>
        <color rgb="FF2B2B2B"/>
        <rFont val="Noto Sans CJK SC"/>
        <family val="2"/>
      </rPr>
      <t xml:space="preserve">時から午後</t>
    </r>
    <r>
      <rPr>
        <sz val="10"/>
        <color rgb="FF2B2B2B"/>
        <rFont val="Yu Gothic"/>
        <family val="0"/>
        <charset val="1"/>
      </rPr>
      <t xml:space="preserve">5</t>
    </r>
    <r>
      <rPr>
        <sz val="10"/>
        <color rgb="FF2B2B2B"/>
        <rFont val="Noto Sans CJK SC"/>
        <family val="2"/>
      </rPr>
      <t xml:space="preserve">時まで、駐車料金は</t>
    </r>
    <r>
      <rPr>
        <sz val="10"/>
        <color rgb="FF2B2B2B"/>
        <rFont val="Yu Gothic"/>
        <family val="0"/>
        <charset val="1"/>
      </rPr>
      <t xml:space="preserve">1</t>
    </r>
    <r>
      <rPr>
        <sz val="10"/>
        <color rgb="FF2B2B2B"/>
        <rFont val="Noto Sans CJK SC"/>
        <family val="2"/>
      </rPr>
      <t xml:space="preserve">台</t>
    </r>
    <r>
      <rPr>
        <sz val="10"/>
        <color rgb="FF2B2B2B"/>
        <rFont val="Yu Gothic"/>
        <family val="0"/>
        <charset val="1"/>
      </rPr>
      <t xml:space="preserve">2000</t>
    </r>
    <r>
      <rPr>
        <sz val="10"/>
        <color rgb="FF2B2B2B"/>
        <rFont val="Noto Sans CJK SC"/>
        <family val="2"/>
      </rPr>
      <t xml:space="preserve">円で、障がい者割引はございません。</t>
    </r>
    <r>
      <rPr>
        <b val="true"/>
        <sz val="10"/>
        <color rgb="FFB03A2E"/>
        <rFont val="Noto Sans CJK SC"/>
        <family val="2"/>
      </rPr>
      <t xml:space="preserve">車いすはであいの館１階窓口で貸し出しのご案内をしておりますが台数に限りがあります。また駐車</t>
    </r>
    <r>
      <rPr>
        <sz val="10"/>
        <color rgb="FF2B2B2B"/>
        <rFont val="Noto Sans CJK SC"/>
        <family val="2"/>
      </rPr>
      <t xml:space="preserve">スペース</t>
    </r>
    <r>
      <rPr>
        <b val="true"/>
        <sz val="10"/>
        <color rgb="FFB03A2E"/>
        <rFont val="Noto Sans CJK SC"/>
        <family val="2"/>
      </rPr>
      <t xml:space="preserve">も</t>
    </r>
    <r>
      <rPr>
        <sz val="10"/>
        <color rgb="FF2B2B2B"/>
        <rFont val="Noto Sans CJK SC"/>
        <family val="2"/>
      </rPr>
      <t xml:space="preserve">満車の場合はお断りすることがございます。</t>
    </r>
  </si>
  <si>
    <r>
      <rPr>
        <sz val="10"/>
        <color rgb="FF2B2B2B"/>
        <rFont val="Noto Sans CJK SC"/>
        <family val="2"/>
      </rPr>
      <t xml:space="preserve">身体障害者用の駐車スペースは、</t>
    </r>
    <r>
      <rPr>
        <b val="true"/>
        <sz val="10"/>
        <color rgb="FFB03A2E"/>
        <rFont val="Noto Sans CJK SC"/>
        <family val="2"/>
      </rPr>
      <t xml:space="preserve">白川郷バスターミナル内に</t>
    </r>
    <r>
      <rPr>
        <b val="true"/>
        <sz val="10"/>
        <color rgb="FFB03A2E"/>
        <rFont val="Yu Gothic"/>
        <family val="0"/>
        <charset val="1"/>
      </rPr>
      <t xml:space="preserve">2</t>
    </r>
    <r>
      <rPr>
        <b val="true"/>
        <sz val="10"/>
        <color rgb="FFB03A2E"/>
        <rFont val="Noto Sans CJK SC"/>
        <family val="2"/>
      </rPr>
      <t xml:space="preserve">台</t>
    </r>
    <r>
      <rPr>
        <sz val="10"/>
        <color rgb="FF2B2B2B"/>
        <rFont val="Noto Sans CJK SC"/>
        <family val="2"/>
      </rPr>
      <t xml:space="preserve">ございます。</t>
    </r>
    <r>
      <rPr>
        <b val="true"/>
        <sz val="10"/>
        <color rgb="FFB03A2E"/>
        <rFont val="Noto Sans CJK SC"/>
        <family val="2"/>
      </rPr>
      <t xml:space="preserve">観光協会窓口で受付しております。詳しくは画面をご覧</t>
    </r>
    <r>
      <rPr>
        <sz val="10"/>
        <color rgb="FF2B2B2B"/>
        <rFont val="Noto Sans CJK SC"/>
        <family val="2"/>
      </rPr>
      <t xml:space="preserve">ください。</t>
    </r>
  </si>
  <si>
    <r>
      <rPr>
        <sz val="10"/>
        <color rgb="FF2B2B2B"/>
        <rFont val="Noto Sans CJK SC"/>
        <family val="2"/>
      </rPr>
      <t xml:space="preserve">身体障害者用の駐車スペースは、</t>
    </r>
    <r>
      <rPr>
        <b val="true"/>
        <sz val="10"/>
        <color rgb="FFB03A2E"/>
        <rFont val="Noto Sans CJK SC"/>
        <family val="2"/>
      </rPr>
      <t xml:space="preserve">駐車場内に５台分</t>
    </r>
    <r>
      <rPr>
        <sz val="10"/>
        <color rgb="FF2B2B2B"/>
        <rFont val="Noto Sans CJK SC"/>
        <family val="2"/>
      </rPr>
      <t xml:space="preserve">ございます。</t>
    </r>
    <r>
      <rPr>
        <b val="true"/>
        <sz val="10"/>
        <color rgb="FFB03A2E"/>
        <rFont val="Noto Sans CJK SC"/>
        <family val="2"/>
      </rPr>
      <t xml:space="preserve">ご利用の際はスタッフにお声かけ</t>
    </r>
    <r>
      <rPr>
        <sz val="10"/>
        <color rgb="FF2B2B2B"/>
        <rFont val="Noto Sans CJK SC"/>
        <family val="2"/>
      </rPr>
      <t xml:space="preserve">ください。</t>
    </r>
  </si>
  <si>
    <r>
      <rPr>
        <sz val="10"/>
        <color rgb="FF2B2B2B"/>
        <rFont val="Noto Sans CJK SC"/>
        <family val="2"/>
      </rPr>
      <t xml:space="preserve">◆駐車スペースが館で違う（バスターミナル内</t>
    </r>
    <r>
      <rPr>
        <sz val="10"/>
        <color rgb="FF2B2B2B"/>
        <rFont val="Yu Gothic"/>
        <family val="0"/>
        <charset val="1"/>
      </rPr>
      <t xml:space="preserve">2</t>
    </r>
    <r>
      <rPr>
        <sz val="10"/>
        <color rgb="FF2B2B2B"/>
        <rFont val="Noto Sans CJK SC"/>
        <family val="2"/>
      </rPr>
      <t xml:space="preserve">台／せせらぎ公園駐車場</t>
    </r>
    <r>
      <rPr>
        <sz val="10"/>
        <color rgb="FF2B2B2B"/>
        <rFont val="Yu Gothic"/>
        <family val="0"/>
        <charset val="1"/>
      </rPr>
      <t xml:space="preserve">5</t>
    </r>
    <r>
      <rPr>
        <sz val="10"/>
        <color rgb="FF2B2B2B"/>
        <rFont val="Noto Sans CJK SC"/>
        <family val="2"/>
      </rPr>
      <t xml:space="preserve">台）
修正欄の文章に差し替え
回答欄を直接修正
読み上げ文を直接修正</t>
    </r>
  </si>
  <si>
    <t xml:space="preserve">wheelchair</t>
  </si>
  <si>
    <t xml:space="preserve">車椅子
車いす 借り
車椅子 貸出
車椅子 レンタル
車いす ある</t>
  </si>
  <si>
    <r>
      <rPr>
        <sz val="10"/>
        <color rgb="FF2B2B2B"/>
        <rFont val="Noto Sans CJK SC"/>
        <family val="2"/>
      </rPr>
      <t xml:space="preserve">車椅子は、白川郷バスターミナルに</t>
    </r>
    <r>
      <rPr>
        <sz val="10"/>
        <color rgb="FF2B2B2B"/>
        <rFont val="Yu Gothic"/>
        <family val="0"/>
        <charset val="1"/>
      </rPr>
      <t xml:space="preserve">2</t>
    </r>
    <r>
      <rPr>
        <sz val="10"/>
        <color rgb="FF2B2B2B"/>
        <rFont val="Noto Sans CJK SC"/>
        <family val="2"/>
      </rPr>
      <t xml:space="preserve">台、せせらぎ公園駐車場に</t>
    </r>
    <r>
      <rPr>
        <sz val="10"/>
        <color rgb="FF2B2B2B"/>
        <rFont val="Yu Gothic"/>
        <family val="0"/>
        <charset val="1"/>
      </rPr>
      <t xml:space="preserve">2</t>
    </r>
    <r>
      <rPr>
        <sz val="10"/>
        <color rgb="FF2B2B2B"/>
        <rFont val="Noto Sans CJK SC"/>
        <family val="2"/>
      </rPr>
      <t xml:space="preserve">台ご用意しております。先着順となりますので、各案内所にお声がけください。せせらぎ公園駐車場での貸出は、午前</t>
    </r>
    <r>
      <rPr>
        <sz val="10"/>
        <color rgb="FF2B2B2B"/>
        <rFont val="Yu Gothic"/>
        <family val="0"/>
        <charset val="1"/>
      </rPr>
      <t xml:space="preserve">9</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分から午後</t>
    </r>
    <r>
      <rPr>
        <sz val="10"/>
        <color rgb="FF2B2B2B"/>
        <rFont val="Yu Gothic"/>
        <family val="0"/>
        <charset val="1"/>
      </rPr>
      <t xml:space="preserve">3</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分までです。</t>
    </r>
    <r>
      <rPr>
        <sz val="10"/>
        <color rgb="FF2B2B2B"/>
        <rFont val="Yu Gothic"/>
        <family val="0"/>
        <charset val="1"/>
      </rPr>
      <t xml:space="preserve">11</t>
    </r>
    <r>
      <rPr>
        <sz val="10"/>
        <color rgb="FF2B2B2B"/>
        <rFont val="Noto Sans CJK SC"/>
        <family val="2"/>
      </rPr>
      <t xml:space="preserve">月から</t>
    </r>
    <r>
      <rPr>
        <sz val="10"/>
        <color rgb="FF2B2B2B"/>
        <rFont val="Yu Gothic"/>
        <family val="0"/>
        <charset val="1"/>
      </rPr>
      <t xml:space="preserve">3</t>
    </r>
    <r>
      <rPr>
        <sz val="10"/>
        <color rgb="FF2B2B2B"/>
        <rFont val="Noto Sans CJK SC"/>
        <family val="2"/>
      </rPr>
      <t xml:space="preserve">月末までの冬期間は、安全のため貸出を行っておりません。なお、村内は砂利道や段差が多く、整備された観光施設ではございませんので、ご移動にはお気をつけください。</t>
    </r>
  </si>
  <si>
    <r>
      <rPr>
        <sz val="10"/>
        <color rgb="FF2B2B2B"/>
        <rFont val="Noto Sans CJK SC"/>
        <family val="2"/>
      </rPr>
      <t xml:space="preserve">車椅子は、白川郷バスターミナルとせせらぎ公園駐車場に各</t>
    </r>
    <r>
      <rPr>
        <sz val="10"/>
        <color rgb="FF2B2B2B"/>
        <rFont val="Yu Gothic"/>
        <family val="0"/>
        <charset val="1"/>
      </rPr>
      <t xml:space="preserve">2</t>
    </r>
    <r>
      <rPr>
        <sz val="10"/>
        <color rgb="FF2B2B2B"/>
        <rFont val="Noto Sans CJK SC"/>
        <family val="2"/>
      </rPr>
      <t xml:space="preserve">台、先着順でお貸ししております。冬期間は貸出を行っておりません。詳しくは画面をご覧ください。</t>
    </r>
  </si>
  <si>
    <r>
      <rPr>
        <sz val="10"/>
        <color rgb="FF2B2B2B"/>
        <rFont val="Noto Sans CJK SC"/>
        <family val="2"/>
      </rPr>
      <t xml:space="preserve">回答欄を直接修正
【決定】バスターミナルの文章（</t>
    </r>
    <r>
      <rPr>
        <sz val="10"/>
        <color rgb="FF2B2B2B"/>
        <rFont val="Yu Gothic"/>
        <family val="0"/>
        <charset val="1"/>
      </rPr>
      <t xml:space="preserve">2</t>
    </r>
    <r>
      <rPr>
        <sz val="10"/>
        <color rgb="FF2B2B2B"/>
        <rFont val="Noto Sans CJK SC"/>
        <family val="2"/>
      </rPr>
      <t xml:space="preserve">台）にそろえた</t>
    </r>
  </si>
  <si>
    <t xml:space="preserve">bear</t>
  </si>
  <si>
    <t xml:space="preserve">マナー・お願い</t>
  </si>
  <si>
    <t xml:space="preserve">熊 出る
クマ 注意</t>
  </si>
  <si>
    <t xml:space="preserve">クマの出没にご注意ください。もしクマに出会ってしまったら、背中を見せずゆっくりと後退しましょう。
もし襲われてしまった際には地面に伏せて頭を守りましょう。</t>
  </si>
  <si>
    <t xml:space="preserve">heated_tobacco</t>
  </si>
  <si>
    <t xml:space="preserve">電子タバコ 吸える
加熱式タバコ どこ
アイコス
ベイプ
電子タバコならいい？</t>
  </si>
  <si>
    <t xml:space="preserve">火を使わない電子たばこ・加熱式たばこであっても、歩行喫煙や所定場所以外での使用は禁止されています。加熱式たばこは、荻町多目的集会施設、荻町公園、バスターミナル、せせらぎ公園駐車場の各喫煙所をご利用ください。</t>
  </si>
  <si>
    <t xml:space="preserve">アイコスなどの加熱式たばこも、歩行中の使用はできません。荻町公園や多目的集会施設付近など、村内にある各喫煙所をご利用ください。</t>
  </si>
  <si>
    <t xml:space="preserve">【決定】であいの館案を採用（「たばこは」→「加熱式たばこは」）
回答欄を直接修正
読み上げ文を直接修正</t>
  </si>
  <si>
    <t xml:space="preserve">photo_manner</t>
  </si>
  <si>
    <t xml:space="preserve">写真 撮って
撮影 マナー
住民 撮影
私有地
写真 だめ</t>
  </si>
  <si>
    <t xml:space="preserve">集落は住民の方が生活されている場所です。私有地に立ち入っての撮影や、住民の方を無断で撮影することは禁止です。生活されている場所ですので大きな声を出したり騒いだりするのはお止め下さい。静かに観光をお願いします。</t>
  </si>
  <si>
    <t xml:space="preserve">修正欄の文章に差し替え
誤字「静に」→「静かに」
【決定】バスターミナルの文章に統一
回答欄を直接修正
読み上げ文を直接修正</t>
  </si>
  <si>
    <t xml:space="preserve">smoking_area</t>
  </si>
  <si>
    <t xml:space="preserve">タバコ 吸える場所
喫煙所 どこ
たばこ 吸いたい
アイコス 吸える場所
喫煙スペース</t>
  </si>
  <si>
    <t xml:space="preserve">合掌造り集落は火災に非常に弱いため、歩行中を含め指定場所以外での喫煙は厳禁です。紙巻たばこは「白川郷バスターミナル」「せせらぎ公園駐車場」の喫煙所をご利用ください。「荻町公園」「荻町多目的集会施設」の喫煙所は加熱式たばこ専用です。</t>
  </si>
  <si>
    <t xml:space="preserve">合掌造りは火気に弱いため、指定場所以外は禁煙です。所定の喫煙所をご利用ください。</t>
  </si>
  <si>
    <t xml:space="preserve">読み上げ文を直接修正
修正欄の文章に差し替え
【決定】であいの館案を採用し、紙巻たばこの場所を書き分け
回答欄を直接修正</t>
  </si>
  <si>
    <t xml:space="preserve">snow_play</t>
  </si>
  <si>
    <t xml:space="preserve">雪遊び
雪 遊べ
雪合戦
そり 遊</t>
  </si>
  <si>
    <t xml:space="preserve">雪遊びが出来る場所はありません。集落内は道路以外私有地です。住民の方が生活している場所ですので私有地に入って雪遊びをしたり騒がないで下さい。</t>
  </si>
  <si>
    <t xml:space="preserve">確認表で新しく追加
質問例「雪 遊べ」「雪合戦」「そり 遊」を追加</t>
  </si>
  <si>
    <t xml:space="preserve">trash</t>
  </si>
  <si>
    <t xml:space="preserve">ゴミ箱
ごみ
捨てる 場所
ゴミ 捨て
ごみ どこ</t>
  </si>
  <si>
    <t xml:space="preserve">白川村にはゴミ箱を設置しておりません。お持ち帰りへのご協力をお願いいたします。</t>
  </si>
  <si>
    <t xml:space="preserve">修正欄の文章に差し替え
【決定】であいの館の文章に統一
読み上げ文を直接修正</t>
  </si>
  <si>
    <t xml:space="preserve">accommodation_today</t>
  </si>
  <si>
    <t xml:space="preserve">その他</t>
  </si>
  <si>
    <t xml:space="preserve">今日 泊ま
宿 空い
当日 予約
泊まる所
ホテル 空き
宿 とれ</t>
  </si>
  <si>
    <t xml:space="preserve">当日にご予約いただける宿をお探しの際は、直接お電話をお願いいたします。民宿などは当日のご予約を承っておりません。</t>
  </si>
  <si>
    <t xml:space="preserve">festival_doburoku_how_to_get</t>
  </si>
  <si>
    <t xml:space="preserve">どぶろく 飲みたい
どぶろく もらい方
どぶろく 料金
お酒 無料
盃 どこで買う</t>
  </si>
  <si>
    <r>
      <rPr>
        <sz val="10"/>
        <color rgb="FF2B2B2B"/>
        <rFont val="Noto Sans CJK SC"/>
        <family val="2"/>
      </rPr>
      <t xml:space="preserve">どぶろくの振る舞いは、白川八幡神社の境内にて</t>
    </r>
    <r>
      <rPr>
        <sz val="10"/>
        <color rgb="FF2B2B2B"/>
        <rFont val="Yu Gothic"/>
        <family val="0"/>
        <charset val="1"/>
      </rPr>
      <t xml:space="preserve">15</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分頃から</t>
    </r>
    <r>
      <rPr>
        <sz val="10"/>
        <color rgb="FF2B2B2B"/>
        <rFont val="Yu Gothic"/>
        <family val="0"/>
        <charset val="1"/>
      </rPr>
      <t xml:space="preserve">17</t>
    </r>
    <r>
      <rPr>
        <sz val="10"/>
        <color rgb="FF2B2B2B"/>
        <rFont val="Noto Sans CJK SC"/>
        <family val="2"/>
      </rPr>
      <t xml:space="preserve">時頃まで行われます。どぶろくをいただくには、まず境内の受付で「奉納（初穂料）」を納めて専用の赤い記念盃（杯）をお受け取りください。その盃を持って列に並ぶと、神社で醸造された特製のどぶろくが注がれます。おかわりも可能ですが、境内限定での飲食となっており、持ち帰りはできません。</t>
    </r>
  </si>
  <si>
    <r>
      <rPr>
        <sz val="10"/>
        <color rgb="FF2B2B2B"/>
        <rFont val="Yu Gothic"/>
        <family val="0"/>
        <charset val="1"/>
      </rPr>
      <t xml:space="preserve">15</t>
    </r>
    <r>
      <rPr>
        <sz val="10"/>
        <color rgb="FF2B2B2B"/>
        <rFont val="Noto Sans CJK SC"/>
        <family val="2"/>
      </rPr>
      <t xml:space="preserve">時半から</t>
    </r>
    <r>
      <rPr>
        <sz val="10"/>
        <color rgb="FF2B2B2B"/>
        <rFont val="Yu Gothic"/>
        <family val="0"/>
        <charset val="1"/>
      </rPr>
      <t xml:space="preserve">17</t>
    </r>
    <r>
      <rPr>
        <sz val="10"/>
        <color rgb="FF2B2B2B"/>
        <rFont val="Noto Sans CJK SC"/>
        <family val="2"/>
      </rPr>
      <t xml:space="preserve">時頃まで、神社の境内で振る舞われます。境内の受付で初穂料を納めて赤い盃を受け取り、列に並んでお受け取りください。境内限定で、持ち帰りはできません</t>
    </r>
  </si>
  <si>
    <r>
      <rPr>
        <sz val="10"/>
        <color rgb="FF2B2B2B"/>
        <rFont val="Yu Gothic"/>
        <family val="0"/>
        <charset val="1"/>
      </rPr>
      <t xml:space="preserve">10/01</t>
    </r>
    <r>
      <rPr>
        <sz val="10"/>
        <color rgb="FF2B2B2B"/>
        <rFont val="Noto Sans CJK SC"/>
        <family val="2"/>
      </rPr>
      <t xml:space="preserve">〜</t>
    </r>
    <r>
      <rPr>
        <sz val="10"/>
        <color rgb="FF2B2B2B"/>
        <rFont val="Yu Gothic"/>
        <family val="0"/>
        <charset val="1"/>
      </rPr>
      <t xml:space="preserve">10/19</t>
    </r>
  </si>
  <si>
    <r>
      <rPr>
        <sz val="10"/>
        <color rgb="FF2B2B2B"/>
        <rFont val="Noto Sans CJK SC"/>
        <family val="2"/>
      </rPr>
      <t xml:space="preserve">【決定】掲載期間を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回答欄を直接修正
読み上げ文を直接修正
【決定】終了時刻を</t>
    </r>
    <r>
      <rPr>
        <sz val="10"/>
        <color rgb="FF2B2B2B"/>
        <rFont val="Yu Gothic"/>
        <family val="0"/>
        <charset val="1"/>
      </rPr>
      <t xml:space="preserve">17</t>
    </r>
    <r>
      <rPr>
        <sz val="10"/>
        <color rgb="FF2B2B2B"/>
        <rFont val="Noto Sans CJK SC"/>
        <family val="2"/>
      </rPr>
      <t xml:space="preserve">時頃に修正
【決定】受け取り方を「列に並ぶ」に統一（バスターミナルの文章にそろえた）</t>
    </r>
  </si>
  <si>
    <t xml:space="preserve">festival_drinking_rules</t>
  </si>
  <si>
    <t xml:space="preserve">どぶろく 持ち帰り
車 運転
お土産 どぶろく
ペットボトル 入れる</t>
  </si>
  <si>
    <r>
      <rPr>
        <sz val="10"/>
        <color rgb="FF2B2B2B"/>
        <rFont val="Noto Sans CJK SC"/>
        <family val="2"/>
      </rPr>
      <t xml:space="preserve">境内で振る舞われるどぶろくは神様へのお供えのお下がりであるため、水筒やペットボトル等に入れての持ち帰りは固く禁じられています。祭り期間中は、境内の受付で</t>
    </r>
    <r>
      <rPr>
        <sz val="10"/>
        <color rgb="FF2B2B2B"/>
        <rFont val="Yu Gothic"/>
        <family val="0"/>
        <charset val="1"/>
      </rPr>
      <t xml:space="preserve">2000</t>
    </r>
    <r>
      <rPr>
        <sz val="10"/>
        <color rgb="FF2B2B2B"/>
        <rFont val="Noto Sans CJK SC"/>
        <family val="2"/>
      </rPr>
      <t xml:space="preserve">円を志納すると徳利を</t>
    </r>
    <r>
      <rPr>
        <sz val="10"/>
        <color rgb="FF2B2B2B"/>
        <rFont val="Yu Gothic"/>
        <family val="0"/>
        <charset val="1"/>
      </rPr>
      <t xml:space="preserve">1</t>
    </r>
    <r>
      <rPr>
        <sz val="10"/>
        <color rgb="FF2B2B2B"/>
        <rFont val="Noto Sans CJK SC"/>
        <family val="2"/>
      </rPr>
      <t xml:space="preserve">本いただけます。お土産用のどぶろく（瓶詰め）は、村内の酒屋や土産品店でご購入いただけます。また、どぶろくはアルコール度数の高いお酒ですので飲みすぎにはご注意ください。お車や自転車を運転される方の飲酒は絶対におやめください。</t>
    </r>
  </si>
  <si>
    <r>
      <rPr>
        <sz val="10"/>
        <color rgb="FF2B2B2B"/>
        <rFont val="Noto Sans CJK SC"/>
        <family val="2"/>
      </rPr>
      <t xml:space="preserve">振る舞いのどぶろくは持ち帰りできません。祭り期間中は、境内の受付で</t>
    </r>
    <r>
      <rPr>
        <sz val="10"/>
        <color rgb="FF2B2B2B"/>
        <rFont val="Yu Gothic"/>
        <family val="0"/>
        <charset val="1"/>
      </rPr>
      <t xml:space="preserve">2000</t>
    </r>
    <r>
      <rPr>
        <sz val="10"/>
        <color rgb="FF2B2B2B"/>
        <rFont val="Noto Sans CJK SC"/>
        <family val="2"/>
      </rPr>
      <t xml:space="preserve">円を志納すると徳利を</t>
    </r>
    <r>
      <rPr>
        <sz val="10"/>
        <color rgb="FF2B2B2B"/>
        <rFont val="Yu Gothic"/>
        <family val="0"/>
        <charset val="1"/>
      </rPr>
      <t xml:space="preserve">1</t>
    </r>
    <r>
      <rPr>
        <sz val="10"/>
        <color rgb="FF2B2B2B"/>
        <rFont val="Noto Sans CJK SC"/>
        <family val="2"/>
      </rPr>
      <t xml:space="preserve">本いただけます。お土産用の瓶詰めは村内の酒屋や土産品店で買えます。運転される方の飲酒は絶対におやめください。</t>
    </r>
  </si>
  <si>
    <r>
      <rPr>
        <sz val="10"/>
        <color rgb="FF2B2B2B"/>
        <rFont val="Noto Sans CJK SC"/>
        <family val="2"/>
      </rPr>
      <t xml:space="preserve">修正欄の文章に差し替え
【決定】祭りの徳利とお土産の瓶詰めの両方を入れた文章に統一
【決定】掲載期間を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回答欄を直接修正</t>
    </r>
  </si>
  <si>
    <t xml:space="preserve">festival_minors</t>
  </si>
  <si>
    <t xml:space="preserve">子ども どぶろく
未成年 飲め
子連れ 祭り
子供 参加
こども 飲み物</t>
  </si>
  <si>
    <t xml:space="preserve">未成年の方はどぶろくをお召し上がりいただけません。お子様連れでもお祭りはご覧いただけます。</t>
  </si>
  <si>
    <r>
      <rPr>
        <sz val="10"/>
        <color rgb="FF2B2B2B"/>
        <rFont val="Noto Sans CJK SC"/>
        <family val="2"/>
      </rPr>
      <t xml:space="preserve">【決定】掲載期間を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【決定】バスターミナルの文章に統一
回答欄を直接修正</t>
    </r>
  </si>
  <si>
    <t xml:space="preserve">festival_overview</t>
  </si>
  <si>
    <t xml:space="preserve">どぶろく祭り とは
どぶろく祭り 何する
祭り 見どころ
どんな祭り</t>
  </si>
  <si>
    <r>
      <rPr>
        <sz val="10"/>
        <color rgb="FF2B2B2B"/>
        <rFont val="Noto Sans CJK SC"/>
        <family val="2"/>
      </rPr>
      <t xml:space="preserve">白川郷の「どぶろく祭」は、五穀豊穣・家内安全・里の平和を祈願して毎年秋に開催される伝統的な神事です。白川八幡神社では</t>
    </r>
    <r>
      <rPr>
        <sz val="10"/>
        <color rgb="FF2B2B2B"/>
        <rFont val="Yu Gothic"/>
        <family val="0"/>
        <charset val="1"/>
      </rPr>
      <t xml:space="preserve">10</t>
    </r>
    <r>
      <rPr>
        <sz val="10"/>
        <color rgb="FF2B2B2B"/>
        <rFont val="Noto Sans CJK SC"/>
        <family val="2"/>
      </rPr>
      <t xml:space="preserve">月</t>
    </r>
    <r>
      <rPr>
        <sz val="10"/>
        <color rgb="FF2B2B2B"/>
        <rFont val="Yu Gothic"/>
        <family val="0"/>
        <charset val="1"/>
      </rPr>
      <t xml:space="preserve">14</t>
    </r>
    <r>
      <rPr>
        <sz val="10"/>
        <color rgb="FF2B2B2B"/>
        <rFont val="Noto Sans CJK SC"/>
        <family val="2"/>
      </rPr>
      <t xml:space="preserve">日と</t>
    </r>
    <r>
      <rPr>
        <sz val="10"/>
        <color rgb="FF2B2B2B"/>
        <rFont val="Yu Gothic"/>
        <family val="0"/>
        <charset val="1"/>
      </rPr>
      <t xml:space="preserve">15</t>
    </r>
    <r>
      <rPr>
        <sz val="10"/>
        <color rgb="FF2B2B2B"/>
        <rFont val="Noto Sans CJK SC"/>
        <family val="2"/>
      </rPr>
      <t xml:space="preserve">日の</t>
    </r>
    <r>
      <rPr>
        <sz val="10"/>
        <color rgb="FF2B2B2B"/>
        <rFont val="Yu Gothic"/>
        <family val="0"/>
        <charset val="1"/>
      </rPr>
      <t xml:space="preserve">2</t>
    </r>
    <r>
      <rPr>
        <sz val="10"/>
        <color rgb="FF2B2B2B"/>
        <rFont val="Noto Sans CJK SC"/>
        <family val="2"/>
      </rPr>
      <t xml:space="preserve">日間にわたって行われます。その後、</t>
    </r>
    <r>
      <rPr>
        <sz val="10"/>
        <color rgb="FF2B2B2B"/>
        <rFont val="Yu Gothic"/>
        <family val="0"/>
        <charset val="1"/>
      </rPr>
      <t xml:space="preserve">2</t>
    </r>
    <r>
      <rPr>
        <sz val="10"/>
        <color rgb="FF2B2B2B"/>
        <rFont val="Noto Sans CJK SC"/>
        <family val="2"/>
      </rPr>
      <t xml:space="preserve">日間ごとに鳩谷八幡神社、飯島八幡神社と続きます。日中の華やかな「村回り行列（神幸祭）」や、境内での「どぶろくの振る舞い」、夕方以降に奉納される「獅子舞」や「民謡・白川郷春駒」など、見どころが豊富にあります。</t>
    </r>
  </si>
  <si>
    <t xml:space="preserve">白川郷の秋の伝統行事で、五穀豊穣を祈る神事です。昼は華やかな行列やどぶろくの振る舞い、夕方や夜には迫力ある獅子舞や伝統の踊りが楽しめます。</t>
  </si>
  <si>
    <r>
      <rPr>
        <sz val="10"/>
        <color rgb="FF2B2B2B"/>
        <rFont val="Noto Sans CJK SC"/>
        <family val="2"/>
      </rPr>
      <t xml:space="preserve">【決定】掲載期間を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【決定】であいの館の文章（鳩谷・飯島八幡神社へ続く）に統一
回答欄を直接修正</t>
    </r>
  </si>
  <si>
    <t xml:space="preserve">festival_performance</t>
  </si>
  <si>
    <t xml:space="preserve">獅子舞 いつ
踊り 何時から
春駒
郷土芸能
夜のイベント</t>
  </si>
  <si>
    <r>
      <rPr>
        <sz val="10"/>
        <color rgb="FF2B2B2B"/>
        <rFont val="Noto Sans CJK SC"/>
        <family val="2"/>
      </rPr>
      <t xml:space="preserve">神社の境内の舞台・拝殿前では、伝統の郷土芸能が奉納されます。勇壮な「白川連獅子（獅子舞）」や、県重要無形民俗文化財に指定されている民謡「春駒（はるこま）」の踊りなどが披露されます。昼の部のどぶろく振る舞いと同時に始まり、一度休憩を挟んだ後、</t>
    </r>
    <r>
      <rPr>
        <sz val="10"/>
        <color rgb="FF2B2B2B"/>
        <rFont val="Yu Gothic"/>
        <family val="0"/>
        <charset val="1"/>
      </rPr>
      <t xml:space="preserve">19</t>
    </r>
    <r>
      <rPr>
        <sz val="10"/>
        <color rgb="FF2B2B2B"/>
        <rFont val="Noto Sans CJK SC"/>
        <family val="2"/>
      </rPr>
      <t xml:space="preserve">時頃からの夜の部でも獅子舞、民謡が披露されます。</t>
    </r>
  </si>
  <si>
    <r>
      <rPr>
        <sz val="10"/>
        <color rgb="FF2B2B2B"/>
        <rFont val="Noto Sans CJK SC"/>
        <family val="2"/>
      </rPr>
      <t xml:space="preserve">神社の境内で、勇壮な獅子舞や伝統の春駒踊りが奉納されます。昼は</t>
    </r>
    <r>
      <rPr>
        <sz val="10"/>
        <color rgb="FF2B2B2B"/>
        <rFont val="Yu Gothic"/>
        <family val="0"/>
        <charset val="1"/>
      </rPr>
      <t xml:space="preserve">15</t>
    </r>
    <r>
      <rPr>
        <sz val="10"/>
        <color rgb="FF2B2B2B"/>
        <rFont val="Noto Sans CJK SC"/>
        <family val="2"/>
      </rPr>
      <t xml:space="preserve">時半頃から、夜は</t>
    </r>
    <r>
      <rPr>
        <sz val="10"/>
        <color rgb="FF2B2B2B"/>
        <rFont val="Yu Gothic"/>
        <family val="0"/>
        <charset val="1"/>
      </rPr>
      <t xml:space="preserve">19</t>
    </r>
    <r>
      <rPr>
        <sz val="10"/>
        <color rgb="FF2B2B2B"/>
        <rFont val="Noto Sans CJK SC"/>
        <family val="2"/>
      </rPr>
      <t xml:space="preserve">時頃から披露されます。</t>
    </r>
  </si>
  <si>
    <r>
      <rPr>
        <sz val="10"/>
        <color rgb="FF2B2B2B"/>
        <rFont val="Noto Sans CJK SC"/>
        <family val="2"/>
      </rPr>
      <t xml:space="preserve">読み上げ文を直接修正
修正欄の文章に差し替え
【決定】掲載期間を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【決定】夜の部の「ライトアップ」の記述を削除（バスターミナルの文章にそろえた）</t>
    </r>
  </si>
  <si>
    <t xml:space="preserve">festival_schedule</t>
  </si>
  <si>
    <t xml:space="preserve">祭り スケジュール
時間割
何時から
タイムテーブル
この後 何がある</t>
  </si>
  <si>
    <r>
      <rPr>
        <sz val="10"/>
        <color rgb="FF2B2B2B"/>
        <rFont val="Noto Sans CJK SC"/>
        <family val="2"/>
      </rPr>
      <t xml:space="preserve">両日ともおおむね以下の流れで進行します。 ・</t>
    </r>
    <r>
      <rPr>
        <sz val="10"/>
        <color rgb="FF2B2B2B"/>
        <rFont val="Yu Gothic"/>
        <family val="0"/>
        <charset val="1"/>
      </rPr>
      <t xml:space="preserve">08:00</t>
    </r>
    <r>
      <rPr>
        <sz val="10"/>
        <color rgb="FF2B2B2B"/>
        <rFont val="Noto Sans CJK SC"/>
        <family val="2"/>
      </rPr>
      <t xml:space="preserve">～ 神事（本殿） ・</t>
    </r>
    <r>
      <rPr>
        <sz val="10"/>
        <color rgb="FF2B2B2B"/>
        <rFont val="Yu Gothic"/>
        <family val="0"/>
        <charset val="1"/>
      </rPr>
      <t xml:space="preserve">09:00</t>
    </r>
    <r>
      <rPr>
        <sz val="10"/>
        <color rgb="FF2B2B2B"/>
        <rFont val="Noto Sans CJK SC"/>
        <family val="2"/>
      </rPr>
      <t xml:space="preserve">～ 村回り行列出発（神橋〜集落内を練り歩き） ・</t>
    </r>
    <r>
      <rPr>
        <sz val="10"/>
        <color rgb="FF2B2B2B"/>
        <rFont val="Yu Gothic"/>
        <family val="0"/>
        <charset val="1"/>
      </rPr>
      <t xml:space="preserve">15:00</t>
    </r>
    <r>
      <rPr>
        <sz val="10"/>
        <color rgb="FF2B2B2B"/>
        <rFont val="Noto Sans CJK SC"/>
        <family val="2"/>
      </rPr>
      <t xml:space="preserve">～ 行列が神社に還御 ・</t>
    </r>
    <r>
      <rPr>
        <sz val="10"/>
        <color rgb="FF2B2B2B"/>
        <rFont val="Yu Gothic"/>
        <family val="0"/>
        <charset val="1"/>
      </rPr>
      <t xml:space="preserve">15:30</t>
    </r>
    <r>
      <rPr>
        <sz val="10"/>
        <color rgb="FF2B2B2B"/>
        <rFont val="Noto Sans CJK SC"/>
        <family val="2"/>
      </rPr>
      <t xml:space="preserve">～</t>
    </r>
    <r>
      <rPr>
        <sz val="10"/>
        <color rgb="FF2B2B2B"/>
        <rFont val="Yu Gothic"/>
        <family val="0"/>
        <charset val="1"/>
      </rPr>
      <t xml:space="preserve">17:00 </t>
    </r>
    <r>
      <rPr>
        <sz val="10"/>
        <color rgb="FF2B2B2B"/>
        <rFont val="Noto Sans CJK SC"/>
        <family val="2"/>
      </rPr>
      <t xml:space="preserve">どぶろくの振る舞い（境内） ・</t>
    </r>
    <r>
      <rPr>
        <sz val="10"/>
        <color rgb="FF2B2B2B"/>
        <rFont val="Yu Gothic"/>
        <family val="0"/>
        <charset val="1"/>
      </rPr>
      <t xml:space="preserve">15:30</t>
    </r>
    <r>
      <rPr>
        <sz val="10"/>
        <color rgb="FF2B2B2B"/>
        <rFont val="Noto Sans CJK SC"/>
        <family val="2"/>
      </rPr>
      <t xml:space="preserve">～ 郷土芸能（獅子舞、民謡など）の奉納開始 ・</t>
    </r>
    <r>
      <rPr>
        <sz val="10"/>
        <color rgb="FF2B2B2B"/>
        <rFont val="Yu Gothic"/>
        <family val="0"/>
        <charset val="1"/>
      </rPr>
      <t xml:space="preserve">19:00</t>
    </r>
    <r>
      <rPr>
        <sz val="10"/>
        <color rgb="FF2B2B2B"/>
        <rFont val="Noto Sans CJK SC"/>
        <family val="2"/>
      </rPr>
      <t xml:space="preserve">～ 夜の獅子舞・民謡奉納 進行状況や天候によって時間が前後する場合がありますので、時間に余裕をもってお越しください。</t>
    </r>
  </si>
  <si>
    <r>
      <rPr>
        <sz val="10"/>
        <color rgb="FF2B2B2B"/>
        <rFont val="Noto Sans CJK SC"/>
        <family val="2"/>
      </rPr>
      <t xml:space="preserve">午前</t>
    </r>
    <r>
      <rPr>
        <sz val="10"/>
        <color rgb="FF2B2B2B"/>
        <rFont val="Yu Gothic"/>
        <family val="0"/>
        <charset val="1"/>
      </rPr>
      <t xml:space="preserve">9</t>
    </r>
    <r>
      <rPr>
        <sz val="10"/>
        <color rgb="FF2B2B2B"/>
        <rFont val="Noto Sans CJK SC"/>
        <family val="2"/>
      </rPr>
      <t xml:space="preserve">時半から村内を行列が練り歩き、</t>
    </r>
    <r>
      <rPr>
        <sz val="10"/>
        <color rgb="FF2B2B2B"/>
        <rFont val="Yu Gothic"/>
        <family val="0"/>
        <charset val="1"/>
      </rPr>
      <t xml:space="preserve">15</t>
    </r>
    <r>
      <rPr>
        <sz val="10"/>
        <color rgb="FF2B2B2B"/>
        <rFont val="Noto Sans CJK SC"/>
        <family val="2"/>
      </rPr>
      <t xml:space="preserve">時半から境内でどぶろくの振る舞いと獅子舞などの奉納が始まります。夜</t>
    </r>
    <r>
      <rPr>
        <sz val="10"/>
        <color rgb="FF2B2B2B"/>
        <rFont val="Yu Gothic"/>
        <family val="0"/>
        <charset val="1"/>
      </rPr>
      <t xml:space="preserve">19</t>
    </r>
    <r>
      <rPr>
        <sz val="10"/>
        <color rgb="FF2B2B2B"/>
        <rFont val="Noto Sans CJK SC"/>
        <family val="2"/>
      </rPr>
      <t xml:space="preserve">時からも獅子舞の奉納が行われます。</t>
    </r>
  </si>
  <si>
    <r>
      <rPr>
        <sz val="10"/>
        <color rgb="FF2B2B2B"/>
        <rFont val="Noto Sans CJK SC"/>
        <family val="2"/>
      </rPr>
      <t xml:space="preserve">【決定】掲載期間を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t>
    </r>
  </si>
  <si>
    <t xml:space="preserve">festival_shrine_access</t>
  </si>
  <si>
    <t xml:space="preserve">白川八幡神社 どこ
神社 行き方
祭り 会場
どぶろく どこ</t>
  </si>
  <si>
    <r>
      <rPr>
        <b val="true"/>
        <sz val="10"/>
        <color rgb="FFB03A2E"/>
        <rFont val="Noto Sans CJK SC"/>
        <family val="2"/>
      </rPr>
      <t xml:space="preserve">会場の</t>
    </r>
    <r>
      <rPr>
        <sz val="10"/>
        <color rgb="FF2B2B2B"/>
        <rFont val="Noto Sans CJK SC"/>
        <family val="2"/>
      </rPr>
      <t xml:space="preserve">「白川八幡神社」は、荻町合掌造り集落の南端に位置しています。 </t>
    </r>
    <r>
      <rPr>
        <b val="true"/>
        <sz val="10"/>
        <color rgb="FFB03A2E"/>
        <rFont val="Noto Sans CJK SC"/>
        <family val="2"/>
      </rPr>
      <t xml:space="preserve">白川郷バスターミナル</t>
    </r>
    <r>
      <rPr>
        <sz val="10"/>
        <color rgb="FF2B2B2B"/>
        <rFont val="Noto Sans CJK SC"/>
        <family val="2"/>
      </rPr>
      <t xml:space="preserve">からは、</t>
    </r>
    <r>
      <rPr>
        <b val="true"/>
        <sz val="10"/>
        <color rgb="FFB03A2E"/>
        <rFont val="Noto Sans CJK SC"/>
        <family val="2"/>
      </rPr>
      <t xml:space="preserve">南（合掌造りが並ぶメイン通り）へ向かって徒歩約</t>
    </r>
    <r>
      <rPr>
        <b val="true"/>
        <sz val="10"/>
        <color rgb="FFB03A2E"/>
        <rFont val="Yu Gothic"/>
        <family val="0"/>
        <charset val="1"/>
      </rPr>
      <t xml:space="preserve">15</t>
    </r>
    <r>
      <rPr>
        <b val="true"/>
        <sz val="10"/>
        <color rgb="FFB03A2E"/>
        <rFont val="Noto Sans CJK SC"/>
        <family val="2"/>
      </rPr>
      <t xml:space="preserve">分〜</t>
    </r>
    <r>
      <rPr>
        <b val="true"/>
        <sz val="10"/>
        <color rgb="FFB03A2E"/>
        <rFont val="Yu Gothic"/>
        <family val="0"/>
        <charset val="1"/>
      </rPr>
      <t xml:space="preserve">20</t>
    </r>
    <r>
      <rPr>
        <b val="true"/>
        <sz val="10"/>
        <color rgb="FFB03A2E"/>
        <rFont val="Noto Sans CJK SC"/>
        <family val="2"/>
      </rPr>
      <t xml:space="preserve">分</t>
    </r>
    <r>
      <rPr>
        <sz val="10"/>
        <color rgb="FF2B2B2B"/>
        <rFont val="Noto Sans CJK SC"/>
        <family val="2"/>
      </rPr>
      <t xml:space="preserve">です。</t>
    </r>
  </si>
  <si>
    <r>
      <rPr>
        <sz val="10"/>
        <color rgb="FF2B2B2B"/>
        <rFont val="Noto Sans CJK SC"/>
        <family val="2"/>
      </rPr>
      <t xml:space="preserve">「白川八幡神社」は、荻町合掌造り集落の南端に位置しています。 </t>
    </r>
    <r>
      <rPr>
        <b val="true"/>
        <sz val="10"/>
        <color rgb="FFB03A2E"/>
        <rFont val="Noto Sans CJK SC"/>
        <family val="2"/>
      </rPr>
      <t xml:space="preserve">であいの館方面</t>
    </r>
    <r>
      <rPr>
        <sz val="10"/>
        <color rgb="FF2B2B2B"/>
        <rFont val="Noto Sans CJK SC"/>
        <family val="2"/>
      </rPr>
      <t xml:space="preserve">からは、</t>
    </r>
    <r>
      <rPr>
        <b val="true"/>
        <sz val="10"/>
        <color rgb="FFB03A2E"/>
        <rFont val="Noto Sans CJK SC"/>
        <family val="2"/>
      </rPr>
      <t xml:space="preserve">であい橋を渡って大通りに出て右（南側）へ進むと到着します。鳥居と大きな杉の木が目印</t>
    </r>
    <r>
      <rPr>
        <sz val="10"/>
        <color rgb="FF2B2B2B"/>
        <rFont val="Noto Sans CJK SC"/>
        <family val="2"/>
      </rPr>
      <t xml:space="preserve">です。</t>
    </r>
  </si>
  <si>
    <r>
      <rPr>
        <sz val="10"/>
        <color rgb="FF2B2B2B"/>
        <rFont val="Noto Sans CJK SC"/>
        <family val="2"/>
      </rPr>
      <t xml:space="preserve">◆掲載期間が違う（バスターミナル：祭り期間のみ／であいの館：常に表示）
【決定】掲載期間を</t>
    </r>
    <r>
      <rPr>
        <sz val="10"/>
        <color rgb="FF2B2B2B"/>
        <rFont val="Yu Gothic"/>
        <family val="0"/>
        <charset val="1"/>
      </rPr>
      <t xml:space="preserve">10/1</t>
    </r>
    <r>
      <rPr>
        <sz val="10"/>
        <color rgb="FF2B2B2B"/>
        <rFont val="Noto Sans CJK SC"/>
        <family val="2"/>
      </rPr>
      <t xml:space="preserve">〜</t>
    </r>
    <r>
      <rPr>
        <sz val="10"/>
        <color rgb="FF2B2B2B"/>
        <rFont val="Yu Gothic"/>
        <family val="0"/>
        <charset val="1"/>
      </rPr>
      <t xml:space="preserve">10/19</t>
    </r>
    <r>
      <rPr>
        <sz val="10"/>
        <color rgb="FF2B2B2B"/>
        <rFont val="Noto Sans CJK SC"/>
        <family val="2"/>
      </rPr>
      <t xml:space="preserve">に
回答欄を直接修正
掲載期間をなし（常に表示）に変更</t>
    </r>
  </si>
  <si>
    <t xml:space="preserve">guesthouse_access</t>
  </si>
  <si>
    <r>
      <rPr>
        <sz val="10"/>
        <color rgb="FF2B2B2B"/>
        <rFont val="Noto Sans CJK SC"/>
        <family val="2"/>
      </rPr>
      <t xml:space="preserve">すみれ荘
古志山
てんから
冨美や
ゲストハウス</t>
    </r>
    <r>
      <rPr>
        <sz val="10"/>
        <color rgb="FF2B2B2B"/>
        <rFont val="Yu Gothic"/>
        <family val="0"/>
        <charset val="1"/>
      </rPr>
      <t xml:space="preserve">Kei
</t>
    </r>
    <r>
      <rPr>
        <sz val="10"/>
        <color rgb="FF2B2B2B"/>
        <rFont val="Noto Sans CJK SC"/>
        <family val="2"/>
      </rPr>
      <t xml:space="preserve">白川郷イン
</t>
    </r>
    <r>
      <rPr>
        <sz val="10"/>
        <color rgb="FF2B2B2B"/>
        <rFont val="Yu Gothic"/>
        <family val="0"/>
        <charset val="1"/>
      </rPr>
      <t xml:space="preserve">CURIO</t>
    </r>
    <r>
      <rPr>
        <sz val="10"/>
        <color rgb="FF2B2B2B"/>
        <rFont val="Noto Sans CJK SC"/>
        <family val="2"/>
      </rPr>
      <t xml:space="preserve">白川郷
かやぶき 宿
かやぶき 行き方
</t>
    </r>
    <r>
      <rPr>
        <sz val="10"/>
        <color rgb="FF2B2B2B"/>
        <rFont val="Yu Gothic"/>
        <family val="0"/>
        <charset val="1"/>
      </rPr>
      <t xml:space="preserve">WAY </t>
    </r>
    <r>
      <rPr>
        <sz val="10"/>
        <color rgb="FF2B2B2B"/>
        <rFont val="Noto Sans CJK SC"/>
        <family val="2"/>
      </rPr>
      <t xml:space="preserve">白川郷
あらい
</t>
    </r>
    <r>
      <rPr>
        <sz val="10"/>
        <color rgb="FF2B2B2B"/>
        <rFont val="Yu Gothic"/>
        <family val="0"/>
        <charset val="1"/>
      </rPr>
      <t xml:space="preserve">156</t>
    </r>
    <r>
      <rPr>
        <sz val="10"/>
        <color rgb="FF2B2B2B"/>
        <rFont val="Noto Sans CJK SC"/>
        <family val="2"/>
      </rPr>
      <t xml:space="preserve">レストランラッキー
蕎麦庄やまこし
ゲストハウス
宿 行き方</t>
    </r>
  </si>
  <si>
    <r>
      <rPr>
        <sz val="10"/>
        <color rgb="FF2B2B2B"/>
        <rFont val="Noto Sans CJK SC"/>
        <family val="2"/>
      </rPr>
      <t xml:space="preserve">その建物は鳩谷八幡神社方面にあります。向かわれる際は川沿いの道をお進みください。</t>
    </r>
    <r>
      <rPr>
        <b val="true"/>
        <sz val="10"/>
        <color rgb="FFB03A2E"/>
        <rFont val="Noto Sans CJK SC"/>
        <family val="2"/>
      </rPr>
      <t xml:space="preserve">建物を出て右に行き</t>
    </r>
    <r>
      <rPr>
        <sz val="10"/>
        <color rgb="FF2B2B2B"/>
        <rFont val="Noto Sans CJK SC"/>
        <family val="2"/>
      </rPr>
      <t xml:space="preserve">国道</t>
    </r>
    <r>
      <rPr>
        <sz val="10"/>
        <color rgb="FF2B2B2B"/>
        <rFont val="Yu Gothic"/>
        <family val="0"/>
        <charset val="1"/>
      </rPr>
      <t xml:space="preserve">156</t>
    </r>
    <r>
      <rPr>
        <sz val="10"/>
        <color rgb="FF2B2B2B"/>
        <rFont val="Noto Sans CJK SC"/>
        <family val="2"/>
      </rPr>
      <t xml:space="preserve">号線を進み、川を渡る橋を左に曲がり川沿いを進む道です。</t>
    </r>
  </si>
  <si>
    <r>
      <rPr>
        <sz val="10"/>
        <color rgb="FF2B2B2B"/>
        <rFont val="Noto Sans CJK SC"/>
        <family val="2"/>
      </rPr>
      <t xml:space="preserve">その建物は鳩谷八幡神社方面にあります。向かわれる際は川沿いの道をお進みください。国道</t>
    </r>
    <r>
      <rPr>
        <sz val="10"/>
        <color rgb="FF2B2B2B"/>
        <rFont val="Yu Gothic"/>
        <family val="0"/>
        <charset val="1"/>
      </rPr>
      <t xml:space="preserve">156</t>
    </r>
    <r>
      <rPr>
        <sz val="10"/>
        <color rgb="FF2B2B2B"/>
        <rFont val="Noto Sans CJK SC"/>
        <family val="2"/>
      </rPr>
      <t xml:space="preserve">号線を進み、川を渡る橋を左に曲がり川沿いを進む道です。</t>
    </r>
  </si>
  <si>
    <t xml:space="preserve">その建物は鳩谷八幡神社方面にあります。国道は交通量が多いため、川沿いの道をおすすめしております。詳しい道順は画面をご覧ください。</t>
  </si>
  <si>
    <r>
      <rPr>
        <sz val="10"/>
        <color rgb="FF2B2B2B"/>
        <rFont val="Noto Sans CJK SC"/>
        <family val="2"/>
      </rPr>
      <t xml:space="preserve">【</t>
    </r>
    <r>
      <rPr>
        <sz val="10"/>
        <color rgb="FF2B2B2B"/>
        <rFont val="Yu Gothic"/>
        <family val="0"/>
        <charset val="1"/>
      </rPr>
      <t xml:space="preserve">BT</t>
    </r>
    <r>
      <rPr>
        <sz val="10"/>
        <color rgb="FF2B2B2B"/>
        <rFont val="Noto Sans CJK SC"/>
        <family val="2"/>
      </rPr>
      <t xml:space="preserve">】写真：</t>
    </r>
    <r>
      <rPr>
        <sz val="10"/>
        <color rgb="FF2B2B2B"/>
        <rFont val="Yu Gothic"/>
        <family val="0"/>
        <charset val="1"/>
      </rPr>
      <t xml:space="preserve">guesthouse_route.jpg</t>
    </r>
  </si>
  <si>
    <r>
      <rPr>
        <sz val="10"/>
        <color rgb="FF2B2B2B"/>
        <rFont val="Noto Sans CJK SC"/>
        <family val="2"/>
      </rPr>
      <t xml:space="preserve">◆バスターミナルの文章を採用。であいの館版は出発方向（建物を出て右）を外した
確認表で新しく追加
質問例の「どこ」「教えて」を外し、「かやぶき」「</t>
    </r>
    <r>
      <rPr>
        <sz val="10"/>
        <color rgb="FF2B2B2B"/>
        <rFont val="Yu Gothic"/>
        <family val="0"/>
        <charset val="1"/>
      </rPr>
      <t xml:space="preserve">WAY</t>
    </r>
    <r>
      <rPr>
        <sz val="10"/>
        <color rgb="FF2B2B2B"/>
        <rFont val="Noto Sans CJK SC"/>
        <family val="2"/>
      </rPr>
      <t xml:space="preserve">」に語を足した（関係ない質問を拾わないため）
【決定】バスターミナルの文章を採用。「建物を出て右に行き」はバスターミナルからの道順のため外した</t>
    </r>
  </si>
  <si>
    <t xml:space="preserve">lost_item</t>
  </si>
  <si>
    <t xml:space="preserve">落とし物
忘れ物
なくし
落とし
忘れ
失くし</t>
  </si>
  <si>
    <r>
      <rPr>
        <b val="true"/>
        <sz val="10"/>
        <color rgb="FFB03A2E"/>
        <rFont val="Noto Sans CJK SC"/>
        <family val="2"/>
      </rPr>
      <t xml:space="preserve">バス車内でのお忘れ物は、バス会社にお尋ねください。どこから何時発の便か、座席番号などをお知らせいただくと確認ができます。</t>
    </r>
    <r>
      <rPr>
        <sz val="10"/>
        <color rgb="FF2B2B2B"/>
        <rFont val="Noto Sans CJK SC"/>
        <family val="2"/>
      </rPr>
      <t xml:space="preserve">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r>
  </si>
  <si>
    <t xml:space="preserve">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</si>
  <si>
    <r>
      <rPr>
        <b val="true"/>
        <sz val="10"/>
        <color rgb="FFB03A2E"/>
        <rFont val="Noto Sans CJK SC"/>
        <family val="2"/>
      </rPr>
      <t xml:space="preserve">お忘れ物は、バス車内のものはバス会社へ、村内のものは観光協会へお問い合わせください</t>
    </r>
    <r>
      <rPr>
        <sz val="10"/>
        <color rgb="FF2B2B2B"/>
        <rFont val="Noto Sans CJK SC"/>
        <family val="2"/>
      </rPr>
      <t xml:space="preserve">。詳しくは画面をご覧ください。</t>
    </r>
  </si>
  <si>
    <r>
      <rPr>
        <b val="true"/>
        <sz val="10"/>
        <color rgb="FFB03A2E"/>
        <rFont val="Noto Sans CJK SC"/>
        <family val="2"/>
      </rPr>
      <t xml:space="preserve">村内での落とし物は、届け出があればお知らせできます</t>
    </r>
    <r>
      <rPr>
        <sz val="10"/>
        <color rgb="FF2B2B2B"/>
        <rFont val="Noto Sans CJK SC"/>
        <family val="2"/>
      </rPr>
      <t xml:space="preserve">。詳しくは画面をご覧ください。</t>
    </r>
  </si>
  <si>
    <t xml:space="preserve">◆バスの忘れ物の案内はバスターミナルのみ</t>
  </si>
  <si>
    <t xml:space="preserve">yuinosho</t>
  </si>
  <si>
    <t xml:space="preserve">結の庄
結の庄 行き方
結の庄 送迎
結の庄 どこ</t>
  </si>
  <si>
    <r>
      <rPr>
        <sz val="10"/>
        <color rgb="FF2B2B2B"/>
        <rFont val="Noto Sans CJK SC"/>
        <family val="2"/>
      </rPr>
      <t xml:space="preserve">結の庄は道の駅白川郷の裏手、</t>
    </r>
    <r>
      <rPr>
        <sz val="10"/>
        <color rgb="FF2B2B2B"/>
        <rFont val="Yu Gothic"/>
        <family val="0"/>
        <charset val="1"/>
      </rPr>
      <t xml:space="preserve">3.1</t>
    </r>
    <r>
      <rPr>
        <sz val="10"/>
        <color rgb="FF2B2B2B"/>
        <rFont val="Noto Sans CJK SC"/>
        <family val="2"/>
      </rPr>
      <t xml:space="preserve">ｋｍ先にあり、歩くとおよそ</t>
    </r>
    <r>
      <rPr>
        <b val="true"/>
        <sz val="10"/>
        <color rgb="FFB03A2E"/>
        <rFont val="Yu Gothic"/>
        <family val="0"/>
        <charset val="1"/>
      </rPr>
      <t xml:space="preserve">3</t>
    </r>
    <r>
      <rPr>
        <sz val="10"/>
        <color rgb="FF2B2B2B"/>
        <rFont val="Yu Gothic"/>
        <family val="0"/>
        <charset val="1"/>
      </rPr>
      <t xml:space="preserve">0</t>
    </r>
    <r>
      <rPr>
        <sz val="10"/>
        <color rgb="FF2B2B2B"/>
        <rFont val="Noto Sans CJK SC"/>
        <family val="2"/>
      </rPr>
      <t xml:space="preserve">分かかります。国道は交通量が多いため、川沿いの道をおすすめしておりま</t>
    </r>
    <r>
      <rPr>
        <b val="true"/>
        <sz val="10"/>
        <color rgb="FFB03A2E"/>
        <rFont val="Noto Sans CJK SC"/>
        <family val="2"/>
      </rPr>
      <t xml:space="preserve">す。国道</t>
    </r>
    <r>
      <rPr>
        <b val="true"/>
        <sz val="10"/>
        <color rgb="FFB03A2E"/>
        <rFont val="Yu Gothic"/>
        <family val="0"/>
        <charset val="1"/>
      </rPr>
      <t xml:space="preserve">156</t>
    </r>
    <r>
      <rPr>
        <b val="true"/>
        <sz val="10"/>
        <color rgb="FFB03A2E"/>
        <rFont val="Noto Sans CJK SC"/>
        <family val="2"/>
      </rPr>
      <t xml:space="preserve">号線を進み、川を渡る橋を左に曲がって川沿いに進む道で</t>
    </r>
    <r>
      <rPr>
        <sz val="10"/>
        <color rgb="FF2B2B2B"/>
        <rFont val="Noto Sans CJK SC"/>
        <family val="2"/>
      </rPr>
      <t xml:space="preserve">す。途中にお手洗いもございます。送迎は午後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分から始まります。翌日バスターミナルに戻るバスは、結の庄のカウンターでご予約ください。</t>
    </r>
  </si>
  <si>
    <r>
      <rPr>
        <sz val="10"/>
        <color rgb="FF2B2B2B"/>
        <rFont val="Noto Sans CJK SC"/>
        <family val="2"/>
      </rPr>
      <t xml:space="preserve">結の庄は道の駅白川郷の裏手、</t>
    </r>
    <r>
      <rPr>
        <sz val="10"/>
        <color rgb="FF2B2B2B"/>
        <rFont val="Yu Gothic"/>
        <family val="0"/>
        <charset val="1"/>
      </rPr>
      <t xml:space="preserve">3.1</t>
    </r>
    <r>
      <rPr>
        <sz val="10"/>
        <color rgb="FF2B2B2B"/>
        <rFont val="Noto Sans CJK SC"/>
        <family val="2"/>
      </rPr>
      <t xml:space="preserve">ｋｍ先にあり、歩くとおよそ</t>
    </r>
    <r>
      <rPr>
        <b val="true"/>
        <sz val="10"/>
        <color rgb="FFB03A2E"/>
        <rFont val="Yu Gothic"/>
        <family val="0"/>
        <charset val="1"/>
      </rPr>
      <t xml:space="preserve">4</t>
    </r>
    <r>
      <rPr>
        <sz val="10"/>
        <color rgb="FF2B2B2B"/>
        <rFont val="Yu Gothic"/>
        <family val="0"/>
        <charset val="1"/>
      </rPr>
      <t xml:space="preserve">0</t>
    </r>
    <r>
      <rPr>
        <sz val="10"/>
        <color rgb="FF2B2B2B"/>
        <rFont val="Noto Sans CJK SC"/>
        <family val="2"/>
      </rPr>
      <t xml:space="preserve">分かかります。国道は交通量が多いため、川沿いの道をおすすめしております。途中にお手洗いもございます。送迎は午後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分から始まります。翌日バスターミナルに戻るバスは、結の庄のカウンターでご予約ください。</t>
    </r>
  </si>
  <si>
    <r>
      <rPr>
        <sz val="10"/>
        <color rgb="FF2B2B2B"/>
        <rFont val="Noto Sans CJK SC"/>
        <family val="2"/>
      </rPr>
      <t xml:space="preserve">結の庄へは歩いておよそ</t>
    </r>
    <r>
      <rPr>
        <b val="true"/>
        <sz val="10"/>
        <color rgb="FFB03A2E"/>
        <rFont val="Yu Gothic"/>
        <family val="0"/>
        <charset val="1"/>
      </rPr>
      <t xml:space="preserve">3</t>
    </r>
    <r>
      <rPr>
        <sz val="10"/>
        <color rgb="FF2B2B2B"/>
        <rFont val="Yu Gothic"/>
        <family val="0"/>
        <charset val="1"/>
      </rPr>
      <t xml:space="preserve">0</t>
    </r>
    <r>
      <rPr>
        <sz val="10"/>
        <color rgb="FF2B2B2B"/>
        <rFont val="Noto Sans CJK SC"/>
        <family val="2"/>
      </rPr>
      <t xml:space="preserve">分です。国道は交通量が多いため、川沿いの道をおすすめしております。</t>
    </r>
    <r>
      <rPr>
        <b val="true"/>
        <sz val="10"/>
        <color rgb="FFB03A2E"/>
        <rFont val="Noto Sans CJK SC"/>
        <family val="2"/>
      </rPr>
      <t xml:space="preserve">送迎は午後</t>
    </r>
    <r>
      <rPr>
        <b val="true"/>
        <sz val="10"/>
        <color rgb="FFB03A2E"/>
        <rFont val="Yu Gothic"/>
        <family val="0"/>
        <charset val="1"/>
      </rPr>
      <t xml:space="preserve">2</t>
    </r>
    <r>
      <rPr>
        <b val="true"/>
        <sz val="10"/>
        <color rgb="FFB03A2E"/>
        <rFont val="Noto Sans CJK SC"/>
        <family val="2"/>
      </rPr>
      <t xml:space="preserve">時</t>
    </r>
    <r>
      <rPr>
        <b val="true"/>
        <sz val="10"/>
        <color rgb="FFB03A2E"/>
        <rFont val="Yu Gothic"/>
        <family val="0"/>
        <charset val="1"/>
      </rPr>
      <t xml:space="preserve">30</t>
    </r>
    <r>
      <rPr>
        <b val="true"/>
        <sz val="10"/>
        <color rgb="FFB03A2E"/>
        <rFont val="Noto Sans CJK SC"/>
        <family val="2"/>
      </rPr>
      <t xml:space="preserve">分からです。詳しく</t>
    </r>
    <r>
      <rPr>
        <sz val="10"/>
        <color rgb="FF2B2B2B"/>
        <rFont val="Noto Sans CJK SC"/>
        <family val="2"/>
      </rPr>
      <t xml:space="preserve">は画面をご覧ください。</t>
    </r>
  </si>
  <si>
    <r>
      <rPr>
        <sz val="10"/>
        <color rgb="FF2B2B2B"/>
        <rFont val="Noto Sans CJK SC"/>
        <family val="2"/>
      </rPr>
      <t xml:space="preserve">結の庄へは歩いておよそ</t>
    </r>
    <r>
      <rPr>
        <b val="true"/>
        <sz val="10"/>
        <color rgb="FFB03A2E"/>
        <rFont val="Yu Gothic"/>
        <family val="0"/>
        <charset val="1"/>
      </rPr>
      <t xml:space="preserve">4</t>
    </r>
    <r>
      <rPr>
        <sz val="10"/>
        <color rgb="FF2B2B2B"/>
        <rFont val="Yu Gothic"/>
        <family val="0"/>
        <charset val="1"/>
      </rPr>
      <t xml:space="preserve">0</t>
    </r>
    <r>
      <rPr>
        <sz val="10"/>
        <color rgb="FF2B2B2B"/>
        <rFont val="Noto Sans CJK SC"/>
        <family val="2"/>
      </rPr>
      <t xml:space="preserve">分です。国道は交通量が多いため、川沿いの道をおすすめしております。</t>
    </r>
    <r>
      <rPr>
        <b val="true"/>
        <sz val="10"/>
        <color rgb="FFB03A2E"/>
        <rFont val="Noto Sans CJK SC"/>
        <family val="2"/>
      </rPr>
      <t xml:space="preserve">詳しい道順</t>
    </r>
    <r>
      <rPr>
        <sz val="10"/>
        <color rgb="FF2B2B2B"/>
        <rFont val="Noto Sans CJK SC"/>
        <family val="2"/>
      </rPr>
      <t xml:space="preserve">は画面をご覧ください。</t>
    </r>
  </si>
  <si>
    <r>
      <rPr>
        <sz val="10"/>
        <color rgb="FF2B2B2B"/>
        <rFont val="Noto Sans CJK SC"/>
        <family val="2"/>
      </rPr>
      <t xml:space="preserve">◆所要時間が館ごとに違う（バスターミナル：およそ</t>
    </r>
    <r>
      <rPr>
        <sz val="10"/>
        <color rgb="FF2B2B2B"/>
        <rFont val="Yu Gothic"/>
        <family val="0"/>
        <charset val="1"/>
      </rPr>
      <t xml:space="preserve">30</t>
    </r>
    <r>
      <rPr>
        <sz val="10"/>
        <color rgb="FF2B2B2B"/>
        <rFont val="Noto Sans CJK SC"/>
        <family val="2"/>
      </rPr>
      <t xml:space="preserve">分／であいの館：およそ</t>
    </r>
    <r>
      <rPr>
        <sz val="10"/>
        <color rgb="FF2B2B2B"/>
        <rFont val="Yu Gothic"/>
        <family val="0"/>
        <charset val="1"/>
      </rPr>
      <t xml:space="preserve">40</t>
    </r>
    <r>
      <rPr>
        <sz val="10"/>
        <color rgb="FF2B2B2B"/>
        <rFont val="Noto Sans CJK SC"/>
        <family val="2"/>
      </rPr>
      <t xml:space="preserve">分）。距離（</t>
    </r>
    <r>
      <rPr>
        <sz val="10"/>
        <color rgb="FF2B2B2B"/>
        <rFont val="Yu Gothic"/>
        <family val="0"/>
        <charset val="1"/>
      </rPr>
      <t xml:space="preserve">3.1km</t>
    </r>
    <r>
      <rPr>
        <sz val="10"/>
        <color rgb="FF2B2B2B"/>
        <rFont val="Noto Sans CJK SC"/>
        <family val="2"/>
      </rPr>
      <t xml:space="preserve">）と送迎の案内は両館に入れた。バスターミナル版だけ道順（国道</t>
    </r>
    <r>
      <rPr>
        <sz val="10"/>
        <color rgb="FF2B2B2B"/>
        <rFont val="Yu Gothic"/>
        <family val="0"/>
        <charset val="1"/>
      </rPr>
      <t xml:space="preserve">156</t>
    </r>
    <r>
      <rPr>
        <sz val="10"/>
        <color rgb="FF2B2B2B"/>
        <rFont val="Noto Sans CJK SC"/>
        <family val="2"/>
      </rPr>
      <t xml:space="preserve">号線→橋を左→川沿い）がある
回答欄を直接修正
【決定】であいの館の距離（</t>
    </r>
    <r>
      <rPr>
        <sz val="10"/>
        <color rgb="FF2B2B2B"/>
        <rFont val="Yu Gothic"/>
        <family val="0"/>
        <charset val="1"/>
      </rPr>
      <t xml:space="preserve">3.1km</t>
    </r>
    <r>
      <rPr>
        <sz val="10"/>
        <color rgb="FF2B2B2B"/>
        <rFont val="Noto Sans CJK SC"/>
        <family val="2"/>
      </rPr>
      <t xml:space="preserve">）と送迎の案内をバスターミナルにも追記。所要時間は館ごとのまま
【決定】送迎の時刻を「午後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分」に修正
読み上げ文を直接修正
【決定】国道を避けて川沿いの道を案内する形に修正</t>
    </r>
  </si>
  <si>
    <t xml:space="preserve">bus_next</t>
  </si>
  <si>
    <t xml:space="preserve">次のバス
バス 何時
次の便
バスの時間
時刻表</t>
  </si>
  <si>
    <t xml:space="preserve">バスの時刻表は、案内所前の掲示またはバス会社の窓口でご確認いただけます。詳しくは係員にお尋ねください。</t>
  </si>
  <si>
    <t xml:space="preserve">village_bus</t>
  </si>
  <si>
    <t xml:space="preserve">村内 バス
周遊バス
観光バス
移動 バス</t>
  </si>
  <si>
    <t xml:space="preserve">村内は小さなエリアですので、観光用の周遊バスはございません。徒歩でのご見学をお楽しみください。なお、展望台へのシャトルバスはございます。</t>
  </si>
  <si>
    <t xml:space="preserve">snow_boots</t>
  </si>
  <si>
    <t xml:space="preserve">掲載終了</t>
  </si>
  <si>
    <t xml:space="preserve">スノーブーツ
長靴 借りる
ブーツ レンタル
靴 レンタル</t>
  </si>
  <si>
    <r>
      <rPr>
        <sz val="10"/>
        <color rgb="FF2B2B2B"/>
        <rFont val="Noto Sans CJK SC"/>
        <family val="2"/>
      </rPr>
      <t xml:space="preserve">スノーブーツのレンタルは白川郷バスターミナル内にございます。サイズは</t>
    </r>
    <r>
      <rPr>
        <sz val="10"/>
        <color rgb="FF2B2B2B"/>
        <rFont val="Yu Gothic"/>
        <family val="0"/>
        <charset val="1"/>
      </rPr>
      <t xml:space="preserve">23</t>
    </r>
    <r>
      <rPr>
        <sz val="10"/>
        <color rgb="FF2B2B2B"/>
        <rFont val="Noto Sans CJK SC"/>
        <family val="2"/>
      </rPr>
      <t xml:space="preserve">センチから</t>
    </r>
    <r>
      <rPr>
        <sz val="10"/>
        <color rgb="FF2B2B2B"/>
        <rFont val="Yu Gothic"/>
        <family val="0"/>
        <charset val="1"/>
      </rPr>
      <t xml:space="preserve">27</t>
    </r>
    <r>
      <rPr>
        <sz val="10"/>
        <color rgb="FF2B2B2B"/>
        <rFont val="Noto Sans CJK SC"/>
        <family val="2"/>
      </rPr>
      <t xml:space="preserve">センチまで、各サイズ</t>
    </r>
    <r>
      <rPr>
        <sz val="10"/>
        <color rgb="FF2B2B2B"/>
        <rFont val="Yu Gothic"/>
        <family val="0"/>
        <charset val="1"/>
      </rPr>
      <t xml:space="preserve">3</t>
    </r>
    <r>
      <rPr>
        <sz val="10"/>
        <color rgb="FF2B2B2B"/>
        <rFont val="Noto Sans CJK SC"/>
        <family val="2"/>
      </rPr>
      <t xml:space="preserve">足ずつご用意しております。数に限りがあり、ご予約はできません。貸出時間は</t>
    </r>
    <r>
      <rPr>
        <sz val="10"/>
        <color rgb="FF2B2B2B"/>
        <rFont val="Yu Gothic"/>
        <family val="0"/>
        <charset val="1"/>
      </rPr>
      <t xml:space="preserve">8</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t>
    </r>
    <r>
      <rPr>
        <sz val="10"/>
        <color rgb="FF2B2B2B"/>
        <rFont val="Yu Gothic"/>
        <family val="0"/>
        <charset val="1"/>
      </rPr>
      <t xml:space="preserve">17</t>
    </r>
    <r>
      <rPr>
        <sz val="10"/>
        <color rgb="FF2B2B2B"/>
        <rFont val="Noto Sans CJK SC"/>
        <family val="2"/>
      </rPr>
      <t xml:space="preserve">時、料金は当日返却が</t>
    </r>
    <r>
      <rPr>
        <sz val="10"/>
        <color rgb="FF2B2B2B"/>
        <rFont val="Yu Gothic"/>
        <family val="0"/>
        <charset val="1"/>
      </rPr>
      <t xml:space="preserve">1000</t>
    </r>
    <r>
      <rPr>
        <sz val="10"/>
        <color rgb="FF2B2B2B"/>
        <rFont val="Noto Sans CJK SC"/>
        <family val="2"/>
      </rPr>
      <t xml:space="preserve">円、</t>
    </r>
    <r>
      <rPr>
        <sz val="10"/>
        <color rgb="FF2B2B2B"/>
        <rFont val="Yu Gothic"/>
        <family val="0"/>
        <charset val="1"/>
      </rPr>
      <t xml:space="preserve">2</t>
    </r>
    <r>
      <rPr>
        <sz val="10"/>
        <color rgb="FF2B2B2B"/>
        <rFont val="Noto Sans CJK SC"/>
        <family val="2"/>
      </rPr>
      <t xml:space="preserve">日間が</t>
    </r>
    <r>
      <rPr>
        <sz val="10"/>
        <color rgb="FF2B2B2B"/>
        <rFont val="Yu Gothic"/>
        <family val="0"/>
        <charset val="1"/>
      </rPr>
      <t xml:space="preserve">1500</t>
    </r>
    <r>
      <rPr>
        <sz val="10"/>
        <color rgb="FF2B2B2B"/>
        <rFont val="Noto Sans CJK SC"/>
        <family val="2"/>
      </rPr>
      <t xml:space="preserve">円です。</t>
    </r>
  </si>
  <si>
    <r>
      <rPr>
        <sz val="10"/>
        <color rgb="FF2B2B2B"/>
        <rFont val="Yu Gothic"/>
        <family val="0"/>
        <charset val="1"/>
      </rPr>
      <t xml:space="preserve">2026-09 </t>
    </r>
    <r>
      <rPr>
        <sz val="10"/>
        <color rgb="FF2B2B2B"/>
        <rFont val="Noto Sans CJK SC"/>
        <family val="2"/>
      </rPr>
      <t xml:space="preserve">現地判断により掲載終了</t>
    </r>
  </si>
  <si>
    <t xml:space="preserve">toilet</t>
  </si>
  <si>
    <t xml:space="preserve">トイレ どこ
お手洗い
トイレ 場所
手洗い</t>
  </si>
  <si>
    <r>
      <rPr>
        <sz val="10"/>
        <color rgb="FF2B2B2B"/>
        <rFont val="Noto Sans CJK SC"/>
        <family val="2"/>
      </rPr>
      <t xml:space="preserve">お手洗いのご案内は、村内マップをご覧ください。車椅子でご利用いただけるトイレは村内に</t>
    </r>
    <r>
      <rPr>
        <sz val="10"/>
        <color rgb="FF2B2B2B"/>
        <rFont val="Yu Gothic"/>
        <family val="0"/>
        <charset val="1"/>
      </rPr>
      <t xml:space="preserve">5</t>
    </r>
    <r>
      <rPr>
        <sz val="10"/>
        <color rgb="FF2B2B2B"/>
        <rFont val="Noto Sans CJK SC"/>
        <family val="2"/>
      </rPr>
      <t xml:space="preserve">か所ございます。</t>
    </r>
  </si>
  <si>
    <r>
      <rPr>
        <sz val="10"/>
        <color rgb="FF2B2B2B"/>
        <rFont val="Noto Sans CJK SC"/>
        <family val="2"/>
      </rPr>
      <t xml:space="preserve">リンク：</t>
    </r>
    <r>
      <rPr>
        <sz val="10"/>
        <color rgb="FF2B2B2B"/>
        <rFont val="Yu Gothic"/>
        <family val="0"/>
        <charset val="1"/>
      </rPr>
      <t xml:space="preserve">https://shirakawa-go.gr.jp/download/</t>
    </r>
  </si>
  <si>
    <t xml:space="preserve">gassho_facilities</t>
  </si>
  <si>
    <t xml:space="preserve">合掌造り 見学
見学施設
中 入れる
入館料
見学 料金</t>
  </si>
  <si>
    <r>
      <rPr>
        <sz val="10"/>
        <color rgb="FF2B2B2B"/>
        <rFont val="Noto Sans CJK SC"/>
        <family val="2"/>
      </rPr>
      <t xml:space="preserve">合掌造りの見学施設は、各施設おひとり</t>
    </r>
    <r>
      <rPr>
        <sz val="10"/>
        <color rgb="FF2B2B2B"/>
        <rFont val="Yu Gothic"/>
        <family val="0"/>
        <charset val="1"/>
      </rPr>
      <t xml:space="preserve">300</t>
    </r>
    <r>
      <rPr>
        <sz val="10"/>
        <color rgb="FF2B2B2B"/>
        <rFont val="Noto Sans CJK SC"/>
        <family val="2"/>
      </rPr>
      <t xml:space="preserve">円から</t>
    </r>
    <r>
      <rPr>
        <sz val="10"/>
        <color rgb="FF2B2B2B"/>
        <rFont val="Yu Gothic"/>
        <family val="0"/>
        <charset val="1"/>
      </rPr>
      <t xml:space="preserve">400</t>
    </r>
    <r>
      <rPr>
        <sz val="10"/>
        <color rgb="FF2B2B2B"/>
        <rFont val="Noto Sans CJK SC"/>
        <family val="2"/>
      </rPr>
      <t xml:space="preserve">円、民家園のみおひとり</t>
    </r>
    <r>
      <rPr>
        <sz val="10"/>
        <color rgb="FF2B2B2B"/>
        <rFont val="Yu Gothic"/>
        <family val="0"/>
        <charset val="1"/>
      </rPr>
      <t xml:space="preserve">800</t>
    </r>
    <r>
      <rPr>
        <sz val="10"/>
        <color rgb="FF2B2B2B"/>
        <rFont val="Noto Sans CJK SC"/>
        <family val="2"/>
      </rPr>
      <t xml:space="preserve">円となります。</t>
    </r>
  </si>
  <si>
    <r>
      <rPr>
        <sz val="10"/>
        <color rgb="FF2B2B2B"/>
        <rFont val="Noto Sans CJK SC"/>
        <family val="2"/>
      </rPr>
      <t xml:space="preserve">リンク：</t>
    </r>
    <r>
      <rPr>
        <sz val="10"/>
        <color rgb="FF2B2B2B"/>
        <rFont val="Yu Gothic"/>
        <family val="0"/>
        <charset val="1"/>
      </rPr>
      <t xml:space="preserve">https://shirakawa-go.gr.jp/active/</t>
    </r>
  </si>
  <si>
    <t xml:space="preserve">restaurants</t>
  </si>
  <si>
    <t xml:space="preserve">食事 どこ
レストラン
ご飯 食べる
飲食店
お店 食事
ランチ</t>
  </si>
  <si>
    <t xml:space="preserve">村内の食事施設をご案内しております。団体様は早めのご予約が必要です。多くの店舗が不定休となっておりますので、事前にご確認ください。詳しい一覧は画面のリンクをご覧ください。</t>
  </si>
  <si>
    <r>
      <rPr>
        <sz val="10"/>
        <color rgb="FF2B2B2B"/>
        <rFont val="Noto Sans CJK SC"/>
        <family val="2"/>
      </rPr>
      <t xml:space="preserve">リンク：</t>
    </r>
    <r>
      <rPr>
        <sz val="10"/>
        <color rgb="FF2B2B2B"/>
        <rFont val="Yu Gothic"/>
        <family val="0"/>
        <charset val="1"/>
      </rPr>
      <t xml:space="preserve">https://shirakawa-go.gr.jp/events/245/</t>
    </r>
  </si>
  <si>
    <t xml:space="preserve">sakura_kouyou</t>
  </si>
  <si>
    <t xml:space="preserve">季節・天候</t>
  </si>
  <si>
    <t xml:space="preserve">桜 いつ
紅葉 いつ
見ごろ
開花
花見</t>
  </si>
  <si>
    <r>
      <rPr>
        <sz val="10"/>
        <color rgb="FF2B2B2B"/>
        <rFont val="Noto Sans CJK SC"/>
        <family val="2"/>
      </rPr>
      <t xml:space="preserve">毎年の気温により変動いたしますので、必ずご自身でご確認ください。桜は例年</t>
    </r>
    <r>
      <rPr>
        <sz val="10"/>
        <color rgb="FF2B2B2B"/>
        <rFont val="Yu Gothic"/>
        <family val="0"/>
        <charset val="1"/>
      </rPr>
      <t xml:space="preserve">4</t>
    </r>
    <r>
      <rPr>
        <sz val="10"/>
        <color rgb="FF2B2B2B"/>
        <rFont val="Noto Sans CJK SC"/>
        <family val="2"/>
      </rPr>
      <t xml:space="preserve">月</t>
    </r>
    <r>
      <rPr>
        <sz val="10"/>
        <color rgb="FF2B2B2B"/>
        <rFont val="Yu Gothic"/>
        <family val="0"/>
        <charset val="1"/>
      </rPr>
      <t xml:space="preserve">15</t>
    </r>
    <r>
      <rPr>
        <sz val="10"/>
        <color rgb="FF2B2B2B"/>
        <rFont val="Noto Sans CJK SC"/>
        <family val="2"/>
      </rPr>
      <t xml:space="preserve">日頃に開花を迎えます。紅葉は例年</t>
    </r>
    <r>
      <rPr>
        <sz val="10"/>
        <color rgb="FF2B2B2B"/>
        <rFont val="Yu Gothic"/>
        <family val="0"/>
        <charset val="1"/>
      </rPr>
      <t xml:space="preserve">10</t>
    </r>
    <r>
      <rPr>
        <sz val="10"/>
        <color rgb="FF2B2B2B"/>
        <rFont val="Noto Sans CJK SC"/>
        <family val="2"/>
      </rPr>
      <t xml:space="preserve">月末から</t>
    </r>
    <r>
      <rPr>
        <sz val="10"/>
        <color rgb="FF2B2B2B"/>
        <rFont val="Yu Gothic"/>
        <family val="0"/>
        <charset val="1"/>
      </rPr>
      <t xml:space="preserve">11</t>
    </r>
    <r>
      <rPr>
        <sz val="10"/>
        <color rgb="FF2B2B2B"/>
        <rFont val="Noto Sans CJK SC"/>
        <family val="2"/>
      </rPr>
      <t xml:space="preserve">月初旬が見ごろです。</t>
    </r>
  </si>
  <si>
    <t xml:space="preserve">snowfall</t>
  </si>
  <si>
    <t xml:space="preserve">雪 いつ
雪 積もる
初雪
雪 時期
積雪</t>
  </si>
  <si>
    <r>
      <rPr>
        <sz val="10"/>
        <color rgb="FF2B2B2B"/>
        <rFont val="Noto Sans CJK SC"/>
        <family val="2"/>
      </rPr>
      <t xml:space="preserve">近年の傾向では、毎年</t>
    </r>
    <r>
      <rPr>
        <sz val="10"/>
        <color rgb="FF2B2B2B"/>
        <rFont val="Yu Gothic"/>
        <family val="0"/>
        <charset val="1"/>
      </rPr>
      <t xml:space="preserve">12</t>
    </r>
    <r>
      <rPr>
        <sz val="10"/>
        <color rgb="FF2B2B2B"/>
        <rFont val="Noto Sans CJK SC"/>
        <family val="2"/>
      </rPr>
      <t xml:space="preserve">月初旬に初雪が観測されます。当村は豪雪地帯のため、</t>
    </r>
    <r>
      <rPr>
        <sz val="10"/>
        <color rgb="FF2B2B2B"/>
        <rFont val="Yu Gothic"/>
        <family val="0"/>
        <charset val="1"/>
      </rPr>
      <t xml:space="preserve">12</t>
    </r>
    <r>
      <rPr>
        <sz val="10"/>
        <color rgb="FF2B2B2B"/>
        <rFont val="Noto Sans CJK SC"/>
        <family val="2"/>
      </rPr>
      <t xml:space="preserve">月下旬から</t>
    </r>
    <r>
      <rPr>
        <sz val="10"/>
        <color rgb="FF2B2B2B"/>
        <rFont val="Yu Gothic"/>
        <family val="0"/>
        <charset val="1"/>
      </rPr>
      <t xml:space="preserve">2</t>
    </r>
    <r>
      <rPr>
        <sz val="10"/>
        <color rgb="FF2B2B2B"/>
        <rFont val="Noto Sans CJK SC"/>
        <family val="2"/>
      </rPr>
      <t xml:space="preserve">月下旬は雪の積もった状態が続きます。お出かけ前に天気予報をご確認ください。</t>
    </r>
  </si>
  <si>
    <r>
      <rPr>
        <sz val="10"/>
        <color rgb="FF2B2B2B"/>
        <rFont val="Noto Sans CJK SC"/>
        <family val="2"/>
      </rPr>
      <t xml:space="preserve">リンク：</t>
    </r>
    <r>
      <rPr>
        <sz val="10"/>
        <color rgb="FF2B2B2B"/>
        <rFont val="Yu Gothic"/>
        <family val="0"/>
        <charset val="1"/>
      </rPr>
      <t xml:space="preserve">https://weather.yahoo.co.jp/weather/jp/21/5220/21604.html</t>
    </r>
  </si>
  <si>
    <t xml:space="preserve">studless</t>
  </si>
  <si>
    <t xml:space="preserve">スタッドレス
タイヤ
冬 車
ノーマルタイヤ
チェーン</t>
  </si>
  <si>
    <t xml:space="preserve">雪の降る時季は、必ずスタッドレスタイヤをご装着のうえお越しください。路面は大変滑りやすくなっております。</t>
  </si>
  <si>
    <t xml:space="preserve">bicycle</t>
  </si>
  <si>
    <t xml:space="preserve">自転車
サイクリング
自転車 乗れ
自転車 走</t>
  </si>
  <si>
    <t xml:space="preserve">自転車で集落内へお越しいただくことは可能ですが、歩いている方が多いため、おすすめはしておりません。押して歩いていただくか、駐輪してからのご見学をお願いいたします。</t>
  </si>
  <si>
    <r>
      <rPr>
        <sz val="10"/>
        <color rgb="FF2B2B2B"/>
        <rFont val="Yu Gothic"/>
        <family val="0"/>
        <charset val="1"/>
      </rPr>
      <t xml:space="preserve">2026-09 </t>
    </r>
    <r>
      <rPr>
        <sz val="10"/>
        <color rgb="FF2B2B2B"/>
        <rFont val="Noto Sans CJK SC"/>
        <family val="2"/>
      </rPr>
      <t xml:space="preserve">追加</t>
    </r>
  </si>
  <si>
    <t xml:space="preserve">hiking</t>
  </si>
  <si>
    <t xml:space="preserve">ハイキング
登山
山 入れ
散策 どこ
トレッキング</t>
  </si>
  <si>
    <t xml:space="preserve">山の中や田畑には立ち入らないでください。道に迷ったり、けがをされる危険がございます。ご散策は集落内の道と、展望台までの遊歩道をご利用ください。</t>
  </si>
  <si>
    <t xml:space="preserve">pets</t>
  </si>
  <si>
    <t xml:space="preserve">ペット
犬 連れ
動物 同伴
ペット 入れ
犬 大丈夫</t>
  </si>
  <si>
    <t xml:space="preserve">ペットとご一緒に集落内をお回りいただけます。ただし店内はペット不可のお店が大半です。こびきは抱っこであれば入店いただけます。今藤商店はご同伴いただけます。その他のお店は各店舗にご確認ください。なお展望台行きのシャトルバスはご乗車いただけません。</t>
  </si>
  <si>
    <t xml:space="preserve">ペットとご一緒に集落内をお回りいただけます。店内は多くのお店でペット不可です。詳しくは画面をご覧ください。</t>
  </si>
  <si>
    <r>
      <rPr>
        <sz val="10"/>
        <color rgb="FF2B2B2B"/>
        <rFont val="Yu Gothic"/>
        <family val="0"/>
        <charset val="1"/>
      </rPr>
      <t xml:space="preserve">2026-09 </t>
    </r>
    <r>
      <rPr>
        <sz val="10"/>
        <color rgb="FF2B2B2B"/>
        <rFont val="Noto Sans CJK SC"/>
        <family val="2"/>
      </rPr>
      <t xml:space="preserve">追加。そば脇本の可否は未確認のため記載せず
読み上げ文をこちらで作成（未確認）</t>
    </r>
  </si>
  <si>
    <t xml:space="preserve">river</t>
  </si>
  <si>
    <t xml:space="preserve">川 入れ
水遊び
川 遊ん
庄川</t>
  </si>
  <si>
    <t xml:space="preserve">川は流れが速く水深もあるため大変危険です。川にはお入りにならないでください。</t>
  </si>
  <si>
    <r>
      <rPr>
        <sz val="10"/>
        <color rgb="FF2B2B2B"/>
        <rFont val="Yu Gothic"/>
        <family val="0"/>
        <charset val="1"/>
      </rPr>
      <t xml:space="preserve">2026-09 </t>
    </r>
    <r>
      <rPr>
        <sz val="10"/>
        <color rgb="FF2B2B2B"/>
        <rFont val="Noto Sans CJK SC"/>
        <family val="2"/>
      </rPr>
      <t xml:space="preserve">追加
質問例「川」は</t>
    </r>
    <r>
      <rPr>
        <sz val="10"/>
        <color rgb="FF2B2B2B"/>
        <rFont val="Yu Gothic"/>
        <family val="0"/>
        <charset val="1"/>
      </rPr>
      <t xml:space="preserve">1</t>
    </r>
    <r>
      <rPr>
        <sz val="10"/>
        <color rgb="FF2B2B2B"/>
        <rFont val="Noto Sans CJK SC"/>
        <family val="2"/>
      </rPr>
      <t xml:space="preserve">文字で反応しないため外した</t>
    </r>
  </si>
  <si>
    <t xml:space="preserve">visit_hours</t>
  </si>
  <si>
    <t xml:space="preserve">何時まで
見学 時間帯
営業時間
夜 見られる
早朝</t>
  </si>
  <si>
    <r>
      <rPr>
        <sz val="10"/>
        <color rgb="FF2B2B2B"/>
        <rFont val="Noto Sans CJK SC"/>
        <family val="2"/>
      </rPr>
      <t xml:space="preserve">世界遺産集落は住民の方が生活されています。そのため、集落内にご宿泊の方以外のご見学は、</t>
    </r>
    <r>
      <rPr>
        <sz val="10"/>
        <color rgb="FF2B2B2B"/>
        <rFont val="Yu Gothic"/>
        <family val="0"/>
        <charset val="1"/>
      </rPr>
      <t xml:space="preserve">8</t>
    </r>
    <r>
      <rPr>
        <sz val="10"/>
        <color rgb="FF2B2B2B"/>
        <rFont val="Noto Sans CJK SC"/>
        <family val="2"/>
      </rPr>
      <t xml:space="preserve">時から</t>
    </r>
    <r>
      <rPr>
        <sz val="10"/>
        <color rgb="FF2B2B2B"/>
        <rFont val="Yu Gothic"/>
        <family val="0"/>
        <charset val="1"/>
      </rPr>
      <t xml:space="preserve">17</t>
    </r>
    <r>
      <rPr>
        <sz val="10"/>
        <color rgb="FF2B2B2B"/>
        <rFont val="Noto Sans CJK SC"/>
        <family val="2"/>
      </rPr>
      <t xml:space="preserve">時の時間帯でお願いしております。村営駐車場の営業時間も</t>
    </r>
    <r>
      <rPr>
        <sz val="10"/>
        <color rgb="FF2B2B2B"/>
        <rFont val="Yu Gothic"/>
        <family val="0"/>
        <charset val="1"/>
      </rPr>
      <t xml:space="preserve">8</t>
    </r>
    <r>
      <rPr>
        <sz val="10"/>
        <color rgb="FF2B2B2B"/>
        <rFont val="Noto Sans CJK SC"/>
        <family val="2"/>
      </rPr>
      <t xml:space="preserve">時から</t>
    </r>
    <r>
      <rPr>
        <sz val="10"/>
        <color rgb="FF2B2B2B"/>
        <rFont val="Yu Gothic"/>
        <family val="0"/>
        <charset val="1"/>
      </rPr>
      <t xml:space="preserve">17</t>
    </r>
    <r>
      <rPr>
        <sz val="10"/>
        <color rgb="FF2B2B2B"/>
        <rFont val="Noto Sans CJK SC"/>
        <family val="2"/>
      </rPr>
      <t xml:space="preserve">時です。ライトアップなどのイベント開催日は除きます。</t>
    </r>
  </si>
  <si>
    <t xml:space="preserve">種類</t>
  </si>
  <si>
    <t xml:space="preserve">何が違うか</t>
  </si>
  <si>
    <t xml:space="preserve">決める必要があること</t>
  </si>
  <si>
    <t xml:space="preserve">対応メモ</t>
  </si>
  <si>
    <t xml:space="preserve">両館とも「降りた場所でお待ちください」。であいの館は、せせらぎ公園駐車場（であい橋袂）発着で展望台行きとは乗り場が違うことを明記</t>
  </si>
  <si>
    <t xml:space="preserve">—（それぞれの館の回答として確定）</t>
  </si>
  <si>
    <t xml:space="preserve">いれない。そのままで</t>
  </si>
  <si>
    <t xml:space="preserve">重複（両館で同じ内容）</t>
  </si>
  <si>
    <r>
      <rPr>
        <sz val="10"/>
        <color rgb="FF2B2B2B"/>
        <rFont val="Noto Sans CJK SC"/>
        <family val="2"/>
      </rPr>
      <t xml:space="preserve">両館で回答・読み上げ文・掲載期間がすべて同じ。</t>
    </r>
    <r>
      <rPr>
        <sz val="10"/>
        <color rgb="FF2B2B2B"/>
        <rFont val="Yu Gothic"/>
        <family val="0"/>
        <charset val="1"/>
      </rPr>
      <t xml:space="preserve">1</t>
    </r>
    <r>
      <rPr>
        <sz val="10"/>
        <color rgb="FF2B2B2B"/>
        <rFont val="Noto Sans CJK SC"/>
        <family val="2"/>
      </rPr>
      <t xml:space="preserve">件（共通）として登録できます</t>
    </r>
  </si>
  <si>
    <t xml:space="preserve">（左と同じ）</t>
  </si>
  <si>
    <t xml:space="preserve">重複（決定により同じ内容）</t>
  </si>
  <si>
    <t xml:space="preserve">優先</t>
  </si>
  <si>
    <t xml:space="preserve">対象</t>
  </si>
  <si>
    <t xml:space="preserve">対応メモ（いただいた回答）</t>
  </si>
  <si>
    <t xml:space="preserve">反映した内容</t>
  </si>
  <si>
    <t xml:space="preserve">残っている確認</t>
  </si>
  <si>
    <t xml:space="preserve">高</t>
  </si>
  <si>
    <t xml:space="preserve">smoking_area / heated_tobacco</t>
  </si>
  <si>
    <t xml:space="preserve">タバコであればどちらもダメです。ただし内容はであいの館の修正案を採用</t>
  </si>
  <si>
    <t xml:space="preserve">であいの館の文章をもとに両館共通にした。紙巻たばこは「バスターミナル」「せせらぎ公園駐車場」、「荻町公園」「荻町多目的集会施設」は加熱式たばこ専用と書き分けた。加熱式たばこの回答は「たばこは」→「加熱式たばこは」に直した</t>
  </si>
  <si>
    <t xml:space="preserve">書き分けた文章で問題ないか</t>
  </si>
  <si>
    <r>
      <rPr>
        <sz val="10"/>
        <color rgb="FF2B2B2B"/>
        <rFont val="Yu Gothic"/>
        <family val="0"/>
        <charset val="1"/>
      </rPr>
      <t xml:space="preserve">15</t>
    </r>
    <r>
      <rPr>
        <sz val="10"/>
        <color rgb="FF2B2B2B"/>
        <rFont val="Noto Sans CJK SC"/>
        <family val="2"/>
      </rPr>
      <t xml:space="preserve">時半～</t>
    </r>
    <r>
      <rPr>
        <sz val="10"/>
        <color rgb="FF2B2B2B"/>
        <rFont val="Yu Gothic"/>
        <family val="0"/>
        <charset val="1"/>
      </rPr>
      <t xml:space="preserve">17</t>
    </r>
    <r>
      <rPr>
        <sz val="10"/>
        <color rgb="FF2B2B2B"/>
        <rFont val="Noto Sans CJK SC"/>
        <family val="2"/>
      </rPr>
      <t xml:space="preserve">時まで</t>
    </r>
  </si>
  <si>
    <r>
      <rPr>
        <sz val="10"/>
        <color rgb="FF2B2B2B"/>
        <rFont val="Noto Sans CJK SC"/>
        <family val="2"/>
      </rPr>
      <t xml:space="preserve">両館とも</t>
    </r>
    <r>
      <rPr>
        <sz val="10"/>
        <color rgb="FF2B2B2B"/>
        <rFont val="Yu Gothic"/>
        <family val="0"/>
        <charset val="1"/>
      </rPr>
      <t xml:space="preserve">15</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分頃〜</t>
    </r>
    <r>
      <rPr>
        <sz val="10"/>
        <color rgb="FF2B2B2B"/>
        <rFont val="Yu Gothic"/>
        <family val="0"/>
        <charset val="1"/>
      </rPr>
      <t xml:space="preserve">17</t>
    </r>
    <r>
      <rPr>
        <sz val="10"/>
        <color rgb="FF2B2B2B"/>
        <rFont val="Noto Sans CJK SC"/>
        <family val="2"/>
      </rPr>
      <t xml:space="preserve">時頃にそろえた（であいの館の回答を修正）</t>
    </r>
  </si>
  <si>
    <t xml:space="preserve">どぶろくの受け取り方は列に並ぶで統一を</t>
  </si>
  <si>
    <t xml:space="preserve">であいの館の「所定の位置に着座」を「列に並ぶ」に直し、回答・読み上げ文とも両館同じにした</t>
  </si>
  <si>
    <t xml:space="preserve">祭りの夜の部はライトアップは消してください</t>
  </si>
  <si>
    <r>
      <rPr>
        <sz val="10"/>
        <color rgb="FF2B2B2B"/>
        <rFont val="Noto Sans CJK SC"/>
        <family val="2"/>
      </rPr>
      <t xml:space="preserve">であいの館の「ライトアップされた厳かな雰囲気の中で」を削除し、両館同じ文章にした。読み上げ文も「夜は</t>
    </r>
    <r>
      <rPr>
        <sz val="10"/>
        <color rgb="FF2B2B2B"/>
        <rFont val="Yu Gothic"/>
        <family val="0"/>
        <charset val="1"/>
      </rPr>
      <t xml:space="preserve">19</t>
    </r>
    <r>
      <rPr>
        <sz val="10"/>
        <color rgb="FF2B2B2B"/>
        <rFont val="Noto Sans CJK SC"/>
        <family val="2"/>
      </rPr>
      <t xml:space="preserve">時頃から披露されます」にそろえた</t>
    </r>
  </si>
  <si>
    <t xml:space="preserve">おそらく危険と示して近づけさせないためでしょう。その方面で使用します</t>
  </si>
  <si>
    <t xml:space="preserve">両館とも国道を避けて川沿いの道をすすめる案内にした（であいの館の回答を修正）</t>
  </si>
  <si>
    <t xml:space="preserve">所要時間は回答場所ごとに違っていいが、であいの館の細かい距離や送迎についてはバスターミナルにも追記</t>
  </si>
  <si>
    <r>
      <rPr>
        <sz val="10"/>
        <color rgb="FF2B2B2B"/>
        <rFont val="Noto Sans CJK SC"/>
        <family val="2"/>
      </rPr>
      <t xml:space="preserve">バスターミナルの回答に「道の駅白川郷の裏手、</t>
    </r>
    <r>
      <rPr>
        <sz val="10"/>
        <color rgb="FF2B2B2B"/>
        <rFont val="Yu Gothic"/>
        <family val="0"/>
        <charset val="1"/>
      </rPr>
      <t xml:space="preserve">3.1km</t>
    </r>
    <r>
      <rPr>
        <sz val="10"/>
        <color rgb="FF2B2B2B"/>
        <rFont val="Noto Sans CJK SC"/>
        <family val="2"/>
      </rPr>
      <t xml:space="preserve">先」と、送迎（</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分から）・翌日のバスの予約案内を追記。所要時間はバスターミナル</t>
    </r>
    <r>
      <rPr>
        <sz val="10"/>
        <color rgb="FF2B2B2B"/>
        <rFont val="Yu Gothic"/>
        <family val="0"/>
        <charset val="1"/>
      </rPr>
      <t xml:space="preserve">30</t>
    </r>
    <r>
      <rPr>
        <sz val="10"/>
        <color rgb="FF2B2B2B"/>
        <rFont val="Noto Sans CJK SC"/>
        <family val="2"/>
      </rPr>
      <t xml:space="preserve">分／であいの館</t>
    </r>
    <r>
      <rPr>
        <sz val="10"/>
        <color rgb="FF2B2B2B"/>
        <rFont val="Yu Gothic"/>
        <family val="0"/>
        <charset val="1"/>
      </rPr>
      <t xml:space="preserve">40</t>
    </r>
    <r>
      <rPr>
        <sz val="10"/>
        <color rgb="FF2B2B2B"/>
        <rFont val="Noto Sans CJK SC"/>
        <family val="2"/>
      </rPr>
      <t xml:space="preserve">分のまま。読み上げ文にも送迎を追加</t>
    </r>
  </si>
  <si>
    <t xml:space="preserve">中</t>
  </si>
  <si>
    <r>
      <rPr>
        <sz val="10"/>
        <color rgb="FF2B2B2B"/>
        <rFont val="Yu Gothic"/>
        <family val="0"/>
        <charset val="1"/>
      </rPr>
      <t xml:space="preserve">yuinosho</t>
    </r>
    <r>
      <rPr>
        <sz val="10"/>
        <color rgb="FF2B2B2B"/>
        <rFont val="Noto Sans CJK SC"/>
        <family val="2"/>
      </rPr>
      <t xml:space="preserve">（送迎の時刻）</t>
    </r>
  </si>
  <si>
    <r>
      <rPr>
        <sz val="10"/>
        <color rgb="FF2B2B2B"/>
        <rFont val="Noto Sans CJK SC"/>
        <family val="2"/>
      </rPr>
      <t xml:space="preserve">「午後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分」に直して問題ない</t>
    </r>
  </si>
  <si>
    <r>
      <rPr>
        <sz val="10"/>
        <color rgb="FF2B2B2B"/>
        <rFont val="Noto Sans CJK SC"/>
        <family val="2"/>
      </rPr>
      <t xml:space="preserve">両館とも「夕方</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分」に修正（読み上げ文も）</t>
    </r>
  </si>
  <si>
    <t xml:space="preserve">バスターミナルを採用</t>
  </si>
  <si>
    <t xml:space="preserve">であいの館もバスターミナルの文章にした。「建物を出て右に行き」はバスターミナルからの道順のため、であいの館では外した</t>
  </si>
  <si>
    <t xml:space="preserve">であいの館からの出発方向</t>
  </si>
  <si>
    <t xml:space="preserve">祭りのものはとっくりだが、ふつうのおみやげは買えると判断</t>
  </si>
  <si>
    <r>
      <rPr>
        <sz val="10"/>
        <color rgb="FF2B2B2B"/>
        <rFont val="Noto Sans CJK SC"/>
        <family val="2"/>
      </rPr>
      <t xml:space="preserve">両館とも、祭りの徳利（</t>
    </r>
    <r>
      <rPr>
        <sz val="10"/>
        <color rgb="FF2B2B2B"/>
        <rFont val="Yu Gothic"/>
        <family val="0"/>
        <charset val="1"/>
      </rPr>
      <t xml:space="preserve">2000</t>
    </r>
    <r>
      <rPr>
        <sz val="10"/>
        <color rgb="FF2B2B2B"/>
        <rFont val="Noto Sans CJK SC"/>
        <family val="2"/>
      </rPr>
      <t xml:space="preserve">円志納）とお土産の瓶詰め（酒屋・土産品店）の両方を入れた文章にした。読み上げ文も合わせて作成</t>
    </r>
  </si>
  <si>
    <t xml:space="preserve">文章の確認</t>
  </si>
  <si>
    <t xml:space="preserve">バスターミナルで</t>
  </si>
  <si>
    <r>
      <rPr>
        <sz val="10"/>
        <color rgb="FF2B2B2B"/>
        <rFont val="Noto Sans CJK SC"/>
        <family val="2"/>
      </rPr>
      <t xml:space="preserve">両館ともバスターミナルの文章（</t>
    </r>
    <r>
      <rPr>
        <sz val="10"/>
        <color rgb="FF2B2B2B"/>
        <rFont val="Yu Gothic"/>
        <family val="0"/>
        <charset val="1"/>
      </rPr>
      <t xml:space="preserve">2</t>
    </r>
    <r>
      <rPr>
        <sz val="10"/>
        <color rgb="FF2B2B2B"/>
        <rFont val="Noto Sans CJK SC"/>
        <family val="2"/>
      </rPr>
      <t xml:space="preserve">台）にそろえた</t>
    </r>
  </si>
  <si>
    <r>
      <rPr>
        <sz val="10"/>
        <color rgb="FF2B2B2B"/>
        <rFont val="Noto Sans CJK SC"/>
        <family val="2"/>
      </rPr>
      <t xml:space="preserve">両館ともバスターミナルの文章（</t>
    </r>
    <r>
      <rPr>
        <sz val="10"/>
        <color rgb="FF2B2B2B"/>
        <rFont val="Yu Gothic"/>
        <family val="0"/>
        <charset val="1"/>
      </rPr>
      <t xml:space="preserve">2</t>
    </r>
    <r>
      <rPr>
        <sz val="10"/>
        <color rgb="FF2B2B2B"/>
        <rFont val="Noto Sans CJK SC"/>
        <family val="2"/>
      </rPr>
      <t xml:space="preserve">時間から</t>
    </r>
    <r>
      <rPr>
        <sz val="10"/>
        <color rgb="FF2B2B2B"/>
        <rFont val="Yu Gothic"/>
        <family val="0"/>
        <charset val="1"/>
      </rPr>
      <t xml:space="preserve">3</t>
    </r>
    <r>
      <rPr>
        <sz val="10"/>
        <color rgb="FF2B2B2B"/>
        <rFont val="Noto Sans CJK SC"/>
        <family val="2"/>
      </rPr>
      <t xml:space="preserve">時間）にそろえた</t>
    </r>
  </si>
  <si>
    <t xml:space="preserve">両館ともであいの館の文章にそろえた</t>
  </si>
  <si>
    <t xml:space="preserve">白川ゴーイングを入れる</t>
  </si>
  <si>
    <r>
      <rPr>
        <sz val="10"/>
        <color rgb="FF2B2B2B"/>
        <rFont val="Noto Sans CJK SC"/>
        <family val="2"/>
      </rPr>
      <t xml:space="preserve">であいの館の参考リンクに </t>
    </r>
    <r>
      <rPr>
        <sz val="10"/>
        <color rgb="FF2B2B2B"/>
        <rFont val="Yu Gothic"/>
        <family val="0"/>
        <charset val="1"/>
      </rPr>
      <t xml:space="preserve">https://shirakawa-going.jp/</t>
    </r>
    <r>
      <rPr>
        <sz val="10"/>
        <color rgb="FF2B2B2B"/>
        <rFont val="Noto Sans CJK SC"/>
        <family val="2"/>
      </rPr>
      <t xml:space="preserve">（白川村公式「白川郷すんなり旅ガイド </t>
    </r>
    <r>
      <rPr>
        <sz val="10"/>
        <color rgb="FF2B2B2B"/>
        <rFont val="Yu Gothic"/>
        <family val="0"/>
        <charset val="1"/>
      </rPr>
      <t xml:space="preserve">SHIRAKAWA-Going</t>
    </r>
    <r>
      <rPr>
        <sz val="10"/>
        <color rgb="FF2B2B2B"/>
        <rFont val="Noto Sans CJK SC"/>
        <family val="2"/>
      </rPr>
      <t xml:space="preserve">」）を入れた。画面に</t>
    </r>
    <r>
      <rPr>
        <sz val="10"/>
        <color rgb="FF2B2B2B"/>
        <rFont val="Yu Gothic"/>
        <family val="0"/>
        <charset val="1"/>
      </rPr>
      <t xml:space="preserve">QR</t>
    </r>
    <r>
      <rPr>
        <sz val="10"/>
        <color rgb="FF2B2B2B"/>
        <rFont val="Noto Sans CJK SC"/>
        <family val="2"/>
      </rPr>
      <t xml:space="preserve">コードで表示される</t>
    </r>
  </si>
  <si>
    <t xml:space="preserve">（下の決定で両館に入れた）</t>
  </si>
  <si>
    <t xml:space="preserve">低</t>
  </si>
  <si>
    <t xml:space="preserve">具体的な方で問題なし</t>
  </si>
  <si>
    <t xml:space="preserve">両館とも「和田家のすいれん池前の乗り場」で確定</t>
  </si>
  <si>
    <t xml:space="preserve">祭り関連の掲載期間</t>
  </si>
  <si>
    <r>
      <rPr>
        <sz val="10"/>
        <color rgb="FF2B2B2B"/>
        <rFont val="Yu Gothic"/>
        <family val="0"/>
        <charset val="1"/>
      </rPr>
      <t xml:space="preserve">10/19</t>
    </r>
    <r>
      <rPr>
        <sz val="10"/>
        <color rgb="FF2B2B2B"/>
        <rFont val="Noto Sans CJK SC"/>
        <family val="2"/>
      </rPr>
      <t xml:space="preserve">までで問題ない</t>
    </r>
  </si>
  <si>
    <r>
      <rPr>
        <sz val="10"/>
        <color rgb="FF2B2B2B"/>
        <rFont val="Noto Sans CJK SC"/>
        <family val="2"/>
      </rPr>
      <t xml:space="preserve">両館の祭り関連をすべて</t>
    </r>
    <r>
      <rPr>
        <sz val="10"/>
        <color rgb="FF2B2B2B"/>
        <rFont val="Yu Gothic"/>
        <family val="0"/>
        <charset val="1"/>
      </rPr>
      <t xml:space="preserve">10</t>
    </r>
    <r>
      <rPr>
        <sz val="10"/>
        <color rgb="FF2B2B2B"/>
        <rFont val="Noto Sans CJK SC"/>
        <family val="2"/>
      </rPr>
      <t xml:space="preserve">月</t>
    </r>
    <r>
      <rPr>
        <sz val="10"/>
        <color rgb="FF2B2B2B"/>
        <rFont val="Yu Gothic"/>
        <family val="0"/>
        <charset val="1"/>
      </rPr>
      <t xml:space="preserve">1</t>
    </r>
    <r>
      <rPr>
        <sz val="10"/>
        <color rgb="FF2B2B2B"/>
        <rFont val="Noto Sans CJK SC"/>
        <family val="2"/>
      </rPr>
      <t xml:space="preserve">日〜</t>
    </r>
    <r>
      <rPr>
        <sz val="10"/>
        <color rgb="FF2B2B2B"/>
        <rFont val="Yu Gothic"/>
        <family val="0"/>
        <charset val="1"/>
      </rPr>
      <t xml:space="preserve">19</t>
    </r>
    <r>
      <rPr>
        <sz val="10"/>
        <color rgb="FF2B2B2B"/>
        <rFont val="Noto Sans CJK SC"/>
        <family val="2"/>
      </rPr>
      <t xml:space="preserve">日にした。であいの館の神社への行き方は「いつも」のため常に表示のまま</t>
    </r>
  </si>
  <si>
    <t xml:space="preserve">であいの館で</t>
  </si>
  <si>
    <t xml:space="preserve">両館ともであいの館の文章・読み上げ文にそろえた</t>
  </si>
  <si>
    <t xml:space="preserve">館ごとの回答のまま。バスターミナル版に乗り場の説明は入れない</t>
  </si>
  <si>
    <t xml:space="preserve">であいの館の内容で統一</t>
  </si>
  <si>
    <t xml:space="preserve">両館ともであいの館の文章（駐車料金の一部が保全に役立てられている）にそろえた</t>
  </si>
  <si>
    <t xml:space="preserve">両館ともであいの館の文章（通行制限の注意）とシラカワ・ゴーイングのリンクにそろえた</t>
  </si>
  <si>
    <t xml:space="preserve">両方を合わせた文章で統一</t>
  </si>
  <si>
    <t xml:space="preserve">両館とも「飛騨牛や山菜、岩魚、ニジマス、石豆腐のお料理もございます」にした</t>
  </si>
  <si>
    <t xml:space="preserve">両館ともバスターミナルの文章（禁止です／静かに観光をお願いします）にそろえた。読み上げ文は回答をそのまま読む</t>
  </si>
  <si>
    <t xml:space="preserve">両館ともバスターミナルの文章にそろえた</t>
  </si>
  <si>
    <t xml:space="preserve">であいの館の方が詳細なのでであいの館で</t>
  </si>
  <si>
    <t xml:space="preserve">両館ともであいの館の文章にそろえた（「２日間」の数字は半角に）</t>
  </si>
  <si>
    <t xml:space="preserve">（回答なし）</t>
  </si>
  <si>
    <t xml:space="preserve">バスターミナルのみのまま</t>
  </si>
  <si>
    <t xml:space="preserve">であいの館でも案内するか</t>
  </si>
  <si>
    <r>
      <rPr>
        <sz val="10"/>
        <color rgb="FF2B2B2B"/>
        <rFont val="Yu Gothic"/>
        <family val="0"/>
        <charset val="1"/>
      </rPr>
      <t xml:space="preserve">guesthouse_access</t>
    </r>
    <r>
      <rPr>
        <sz val="10"/>
        <color rgb="FF2B2B2B"/>
        <rFont val="Noto Sans CJK SC"/>
        <family val="2"/>
      </rPr>
      <t xml:space="preserve">（写真）</t>
    </r>
  </si>
  <si>
    <r>
      <rPr>
        <sz val="10"/>
        <color rgb="FF2B2B2B"/>
        <rFont val="Noto Sans CJK SC"/>
        <family val="2"/>
      </rPr>
      <t xml:space="preserve">地図の</t>
    </r>
    <r>
      <rPr>
        <sz val="10"/>
        <color rgb="FF2B2B2B"/>
        <rFont val="Yu Gothic"/>
        <family val="0"/>
        <charset val="1"/>
      </rPr>
      <t xml:space="preserve">1</t>
    </r>
    <r>
      <rPr>
        <sz val="10"/>
        <color rgb="FF2B2B2B"/>
        <rFont val="Noto Sans CJK SC"/>
        <family val="2"/>
      </rPr>
      <t xml:space="preserve">枚目をバスターミナル版の写真（</t>
    </r>
    <r>
      <rPr>
        <sz val="10"/>
        <color rgb="FF2B2B2B"/>
        <rFont val="Yu Gothic"/>
        <family val="0"/>
        <charset val="1"/>
      </rPr>
      <t xml:space="preserve">guesthouse_route.jpg</t>
    </r>
    <r>
      <rPr>
        <sz val="10"/>
        <color rgb="FF2B2B2B"/>
        <rFont val="Noto Sans CJK SC"/>
        <family val="2"/>
      </rPr>
      <t xml:space="preserve">）として登録したまま</t>
    </r>
  </si>
  <si>
    <t xml:space="preserve">であいの館からの道順の地図が要るか</t>
  </si>
  <si>
    <t xml:space="preserve">バスターミナル版は保留のまま</t>
  </si>
  <si>
    <r>
      <rPr>
        <sz val="10"/>
        <color rgb="FF2B2B2B"/>
        <rFont val="Yu Gothic"/>
        <family val="0"/>
        <charset val="1"/>
      </rPr>
      <t xml:space="preserve">11</t>
    </r>
    <r>
      <rPr>
        <sz val="10"/>
        <color rgb="FF2B2B2B"/>
        <rFont val="Noto Sans CJK SC"/>
        <family val="2"/>
      </rPr>
      <t xml:space="preserve">月のロッカー入れ替え後に更新</t>
    </r>
  </si>
  <si>
    <t xml:space="preserve">であいの館の確認表全体</t>
  </si>
  <si>
    <t xml:space="preserve">（今回の方針）</t>
  </si>
  <si>
    <t xml:space="preserve">やまださんの書き換えを、であいの館の回答としてそのまま採用した</t>
  </si>
  <si>
    <t xml:space="preserve">atm_deai / pets</t>
  </si>
  <si>
    <t xml:space="preserve">こちらで作った読み上げ文のまま</t>
  </si>
  <si>
    <t xml:space="preserve">言い回しの確認</t>
  </si>
  <si>
    <t xml:space="preserve">そば脇本のペット可否は未記載のまま</t>
  </si>
  <si>
    <t xml:space="preserve">確認が取れたら追記</t>
  </si>
  <si>
    <t xml:space="preserve">質問例「川」を外したまま</t>
  </si>
  <si>
    <t xml:space="preserve">ID</t>
  </si>
  <si>
    <t xml:space="preserve">設置場所</t>
  </si>
  <si>
    <t xml:space="preserve">カテゴリ</t>
  </si>
  <si>
    <t xml:space="preserve">質問例</t>
  </si>
  <si>
    <t xml:space="preserve">回答</t>
  </si>
  <si>
    <t xml:space="preserve">読み上げ用の短い回答</t>
  </si>
  <si>
    <t xml:space="preserve">写真ファイル名</t>
  </si>
  <si>
    <t xml:space="preserve">参考リンク</t>
  </si>
  <si>
    <t xml:space="preserve">音声ファイル名</t>
  </si>
  <si>
    <t xml:space="preserve">有効</t>
  </si>
  <si>
    <t xml:space="preserve">掲載開始日</t>
  </si>
  <si>
    <t xml:space="preserve">掲載終了日</t>
  </si>
  <si>
    <t xml:space="preserve">共通</t>
  </si>
  <si>
    <t xml:space="preserve">bus</t>
  </si>
  <si>
    <t xml:space="preserve">https://shirakawa-go.gr.jp/events/141/</t>
  </si>
  <si>
    <t xml:space="preserve">TRUE</t>
  </si>
  <si>
    <t xml:space="preserve">terao_shuttle_bt</t>
  </si>
  <si>
    <t xml:space="preserve">寺尾駐車場行きのシャトルバスは、降りた場所と同じ乗降場所です。時刻は決まっておらず、随時運行しておりますので、降りた場所でお待ちください。</t>
  </si>
  <si>
    <t xml:space="preserve">terao_shuttle_deai</t>
  </si>
  <si>
    <t xml:space="preserve">寺尾駐車場行きのシャトルバスは、展望台行き乗降場所とは異なります。せせらぎ公園駐車場からダイヤを定めず、随時運行しております。往路で降車された場所でお待ちください。</t>
  </si>
  <si>
    <t xml:space="preserve">atm_bt</t>
  </si>
  <si>
    <t xml:space="preserve">facility</t>
  </si>
  <si>
    <r>
      <rPr>
        <sz val="10"/>
        <color rgb="FF2B2B2B"/>
        <rFont val="Noto Sans CJK SC"/>
        <family val="2"/>
      </rPr>
      <t xml:space="preserve">海外で発行されたカードは、郵便局の</t>
    </r>
    <r>
      <rPr>
        <sz val="10"/>
        <color rgb="FF2B2B2B"/>
        <rFont val="Yu Gothic"/>
        <family val="0"/>
        <charset val="1"/>
      </rPr>
      <t xml:space="preserve">ATM</t>
    </r>
    <r>
      <rPr>
        <sz val="10"/>
        <color rgb="FF2B2B2B"/>
        <rFont val="Noto Sans CJK SC"/>
        <family val="2"/>
      </rPr>
      <t xml:space="preserve">のみご利用いただけます。この建物を出て右へ、歩いて</t>
    </r>
    <r>
      <rPr>
        <sz val="10"/>
        <color rgb="FF2B2B2B"/>
        <rFont val="Yu Gothic"/>
        <family val="0"/>
        <charset val="1"/>
      </rPr>
      <t xml:space="preserve">20</t>
    </r>
    <r>
      <rPr>
        <sz val="10"/>
        <color rgb="FF2B2B2B"/>
        <rFont val="Noto Sans CJK SC"/>
        <family val="2"/>
      </rPr>
      <t xml:space="preserve">分ほどの場所にございます。日本で発行されたカードは、</t>
    </r>
    <r>
      <rPr>
        <sz val="10"/>
        <color rgb="FF2B2B2B"/>
        <rFont val="Yu Gothic"/>
        <family val="0"/>
        <charset val="1"/>
      </rPr>
      <t xml:space="preserve">JA</t>
    </r>
    <r>
      <rPr>
        <sz val="10"/>
        <color rgb="FF2B2B2B"/>
        <rFont val="Noto Sans CJK SC"/>
        <family val="2"/>
      </rPr>
      <t xml:space="preserve">の</t>
    </r>
    <r>
      <rPr>
        <sz val="10"/>
        <color rgb="FF2B2B2B"/>
        <rFont val="Yu Gothic"/>
        <family val="0"/>
        <charset val="1"/>
      </rPr>
      <t xml:space="preserve">ATM</t>
    </r>
    <r>
      <rPr>
        <sz val="10"/>
        <color rgb="FF2B2B2B"/>
        <rFont val="Noto Sans CJK SC"/>
        <family val="2"/>
      </rPr>
      <t xml:space="preserve">をご利用いただけます。この建物を出て左へ、歩いて</t>
    </r>
    <r>
      <rPr>
        <sz val="10"/>
        <color rgb="FF2B2B2B"/>
        <rFont val="Yu Gothic"/>
        <family val="0"/>
        <charset val="1"/>
      </rPr>
      <t xml:space="preserve">2</t>
    </r>
    <r>
      <rPr>
        <sz val="10"/>
        <color rgb="FF2B2B2B"/>
        <rFont val="Noto Sans CJK SC"/>
        <family val="2"/>
      </rPr>
      <t xml:space="preserve">分ほどの場所にございます。</t>
    </r>
  </si>
  <si>
    <t xml:space="preserve">atm_deai</t>
  </si>
  <si>
    <r>
      <rPr>
        <sz val="10"/>
        <color rgb="FF2B2B2B"/>
        <rFont val="Noto Sans CJK SC"/>
        <family val="2"/>
      </rPr>
      <t xml:space="preserve">海外で発行されたクレジットカードは、郵便局の</t>
    </r>
    <r>
      <rPr>
        <sz val="10"/>
        <color rgb="FF2B2B2B"/>
        <rFont val="Yu Gothic"/>
        <family val="0"/>
        <charset val="1"/>
      </rPr>
      <t xml:space="preserve">ATM</t>
    </r>
    <r>
      <rPr>
        <sz val="10"/>
        <color rgb="FF2B2B2B"/>
        <rFont val="Noto Sans CJK SC"/>
        <family val="2"/>
      </rPr>
      <t xml:space="preserve">のみご利用いただけます。一部ご利用になれないカードもあるようです。郵便局はここから車で</t>
    </r>
    <r>
      <rPr>
        <sz val="10"/>
        <color rgb="FF2B2B2B"/>
        <rFont val="Yu Gothic"/>
        <family val="0"/>
        <charset val="1"/>
      </rPr>
      <t xml:space="preserve">5</t>
    </r>
    <r>
      <rPr>
        <sz val="10"/>
        <color rgb="FF2B2B2B"/>
        <rFont val="Noto Sans CJK SC"/>
        <family val="2"/>
      </rPr>
      <t xml:space="preserve">分ほどの「鳩谷郵便局」をご利用ください。日本で発行されたキャッシュカードやクレジットカードは、</t>
    </r>
    <r>
      <rPr>
        <sz val="10"/>
        <color rgb="FF2B2B2B"/>
        <rFont val="Yu Gothic"/>
        <family val="0"/>
        <charset val="1"/>
      </rPr>
      <t xml:space="preserve">JA</t>
    </r>
    <r>
      <rPr>
        <sz val="10"/>
        <color rgb="FF2B2B2B"/>
        <rFont val="Noto Sans CJK SC"/>
        <family val="2"/>
      </rPr>
      <t xml:space="preserve">の</t>
    </r>
    <r>
      <rPr>
        <sz val="10"/>
        <color rgb="FF2B2B2B"/>
        <rFont val="Yu Gothic"/>
        <family val="0"/>
        <charset val="1"/>
      </rPr>
      <t xml:space="preserve">ATM</t>
    </r>
    <r>
      <rPr>
        <sz val="10"/>
        <color rgb="FF2B2B2B"/>
        <rFont val="Noto Sans CJK SC"/>
        <family val="2"/>
      </rPr>
      <t xml:space="preserve">をご利用いただけます。和田家前、展望台行きシャトルバス乗り場の向かいにございます。</t>
    </r>
  </si>
  <si>
    <t xml:space="preserve">currency_exchange_bt</t>
  </si>
  <si>
    <t xml:space="preserve">外貨の両替は、お手洗い近くのエクスチェンジマシンをご利用ください。コインロッカーでお使いになる小銭への両替は、窓口で承ります。</t>
  </si>
  <si>
    <t xml:space="preserve">currency_exchange_deai</t>
  </si>
  <si>
    <t xml:space="preserve">紙幣のみ対応ですが、外貨両替は観光協会バスターミナルにある両替機をご利用ください。（コインロッカーでお使いになる日本円紙幣から日本円通貨への両替は、窓口で承ります）</t>
  </si>
  <si>
    <t xml:space="preserve">luggage_bt</t>
  </si>
  <si>
    <t xml:space="preserve">コインロッカーがございます。鍵が付いていないものは使用中です。満杯の場合は、近くのお宅でもお荷物をお預かりしております。どちらもいっぱいの場合は、窓口で臨時にお預かりしますのでお声がけください。</t>
  </si>
  <si>
    <t xml:space="preserve">luggage_deai</t>
  </si>
  <si>
    <t xml:space="preserve">この駐車場や近隣にコインロッカーはございません。バスターミナルにはございます。</t>
  </si>
  <si>
    <t xml:space="preserve">stamp_bt</t>
  </si>
  <si>
    <t xml:space="preserve">スタンプは机の上にご用意しております。切手は窓口で取り扱っております。御朱印は行っておりません。</t>
  </si>
  <si>
    <t xml:space="preserve">stamp_deai</t>
  </si>
  <si>
    <t xml:space="preserve">記念スタンプは窓口机上にご用意しております。切手や御朱印の取扱いはございません。</t>
  </si>
  <si>
    <t xml:space="preserve">sightseeing</t>
  </si>
  <si>
    <t xml:space="preserve">observatory_access_bt</t>
  </si>
  <si>
    <r>
      <rPr>
        <sz val="10"/>
        <color rgb="FF2B2B2B"/>
        <rFont val="Noto Sans CJK SC"/>
        <family val="2"/>
      </rPr>
      <t xml:space="preserve">展望台へは、歩きとシャトルバスの</t>
    </r>
    <r>
      <rPr>
        <sz val="10"/>
        <color rgb="FF2B2B2B"/>
        <rFont val="Yu Gothic"/>
        <family val="0"/>
        <charset val="1"/>
      </rPr>
      <t xml:space="preserve">2</t>
    </r>
    <r>
      <rPr>
        <sz val="10"/>
        <color rgb="FF2B2B2B"/>
        <rFont val="Noto Sans CJK SC"/>
        <family val="2"/>
      </rPr>
      <t xml:space="preserve">通りがあります。遊歩道を歩く場合は、この建物を出て左へ</t>
    </r>
    <r>
      <rPr>
        <sz val="10"/>
        <color rgb="FF2B2B2B"/>
        <rFont val="Yu Gothic"/>
        <family val="0"/>
        <charset val="1"/>
      </rPr>
      <t xml:space="preserve">2</t>
    </r>
    <r>
      <rPr>
        <sz val="10"/>
        <color rgb="FF2B2B2B"/>
        <rFont val="Noto Sans CJK SC"/>
        <family val="2"/>
      </rPr>
      <t xml:space="preserve">分ほど進み、白水園という飲食店のところを左に曲がります。和田家を右手に進むと、突き当りに左へ上る道があり、およそ</t>
    </r>
    <r>
      <rPr>
        <sz val="10"/>
        <color rgb="FF2B2B2B"/>
        <rFont val="Yu Gothic"/>
        <family val="0"/>
        <charset val="1"/>
      </rPr>
      <t xml:space="preserve">20</t>
    </r>
    <r>
      <rPr>
        <sz val="10"/>
        <color rgb="FF2B2B2B"/>
        <rFont val="Noto Sans CJK SC"/>
        <family val="2"/>
      </rPr>
      <t xml:space="preserve">分で着きます。山道を歩く場合は、この建物を出て右へ進み、国道</t>
    </r>
    <r>
      <rPr>
        <sz val="10"/>
        <color rgb="FF2B2B2B"/>
        <rFont val="Yu Gothic"/>
        <family val="0"/>
        <charset val="1"/>
      </rPr>
      <t xml:space="preserve">360</t>
    </r>
    <r>
      <rPr>
        <sz val="10"/>
        <color rgb="FF2B2B2B"/>
        <rFont val="Noto Sans CJK SC"/>
        <family val="2"/>
      </rPr>
      <t xml:space="preserve">号線に入ってすぐの階段を登ると城跡展望台に着きます。シャトルバスの場合は、この建物を出て左へ</t>
    </r>
    <r>
      <rPr>
        <sz val="10"/>
        <color rgb="FF2B2B2B"/>
        <rFont val="Yu Gothic"/>
        <family val="0"/>
        <charset val="1"/>
      </rPr>
      <t xml:space="preserve">2</t>
    </r>
    <r>
      <rPr>
        <sz val="10"/>
        <color rgb="FF2B2B2B"/>
        <rFont val="Noto Sans CJK SC"/>
        <family val="2"/>
      </rPr>
      <t xml:space="preserve">分ほどの、和田家のすいれん池前のバス停からご乗車ください。</t>
    </r>
  </si>
  <si>
    <r>
      <rPr>
        <sz val="10"/>
        <color rgb="FF2B2B2B"/>
        <rFont val="Noto Sans CJK SC"/>
        <family val="2"/>
      </rPr>
      <t xml:space="preserve">展望台へは、歩いておよそ</t>
    </r>
    <r>
      <rPr>
        <sz val="10"/>
        <color rgb="FF2B2B2B"/>
        <rFont val="Yu Gothic"/>
        <family val="0"/>
        <charset val="1"/>
      </rPr>
      <t xml:space="preserve">20</t>
    </r>
    <r>
      <rPr>
        <sz val="10"/>
        <color rgb="FF2B2B2B"/>
        <rFont val="Noto Sans CJK SC"/>
        <family val="2"/>
      </rPr>
      <t xml:space="preserve">分、またはシャトルバスでお越しいただけます。詳しい道順は画面をご覧ください。</t>
    </r>
  </si>
  <si>
    <t xml:space="preserve">observatory_access_deai</t>
  </si>
  <si>
    <r>
      <rPr>
        <sz val="10"/>
        <color rgb="FF2B2B2B"/>
        <rFont val="Noto Sans CJK SC"/>
        <family val="2"/>
      </rPr>
      <t xml:space="preserve">展望台へは、有料シャトルバスが便利です。この建物の目の前の橋を渡り、大通りに出て左へ</t>
    </r>
    <r>
      <rPr>
        <sz val="10"/>
        <color rgb="FF2B2B2B"/>
        <rFont val="Yu Gothic"/>
        <family val="0"/>
        <charset val="1"/>
      </rPr>
      <t xml:space="preserve">10</t>
    </r>
    <r>
      <rPr>
        <sz val="10"/>
        <color rgb="FF2B2B2B"/>
        <rFont val="Noto Sans CJK SC"/>
        <family val="2"/>
      </rPr>
      <t xml:space="preserve">分ほど進むと、和田家の前にバス停がございます。そちらからシャトルバスにご乗車ください。または山際沿いに歩いて登ることのできるルートもあり、ここから</t>
    </r>
    <r>
      <rPr>
        <sz val="10"/>
        <color rgb="FF2B2B2B"/>
        <rFont val="Yu Gothic"/>
        <family val="0"/>
        <charset val="1"/>
      </rPr>
      <t xml:space="preserve">30</t>
    </r>
    <r>
      <rPr>
        <sz val="10"/>
        <color rgb="FF2B2B2B"/>
        <rFont val="Noto Sans CJK SC"/>
        <family val="2"/>
      </rPr>
      <t xml:space="preserve">～</t>
    </r>
    <r>
      <rPr>
        <sz val="10"/>
        <color rgb="FF2B2B2B"/>
        <rFont val="Yu Gothic"/>
        <family val="0"/>
        <charset val="1"/>
      </rPr>
      <t xml:space="preserve">40</t>
    </r>
    <r>
      <rPr>
        <sz val="10"/>
        <color rgb="FF2B2B2B"/>
        <rFont val="Noto Sans CJK SC"/>
        <family val="2"/>
      </rPr>
      <t xml:space="preserve">分ほどで行くことができます。</t>
    </r>
  </si>
  <si>
    <r>
      <rPr>
        <sz val="10"/>
        <color rgb="FF2B2B2B"/>
        <rFont val="Noto Sans CJK SC"/>
        <family val="2"/>
      </rPr>
      <t xml:space="preserve">展望台へは、目の前の橋を渡り、大通りを左へ</t>
    </r>
    <r>
      <rPr>
        <sz val="10"/>
        <color rgb="FF2B2B2B"/>
        <rFont val="Yu Gothic"/>
        <family val="0"/>
        <charset val="1"/>
      </rPr>
      <t xml:space="preserve">15</t>
    </r>
    <r>
      <rPr>
        <sz val="10"/>
        <color rgb="FF2B2B2B"/>
        <rFont val="Noto Sans CJK SC"/>
        <family val="2"/>
      </rPr>
      <t xml:space="preserve">分ほど進んだ池の前のバス停から、シャトルバスが出ています。</t>
    </r>
  </si>
  <si>
    <t xml:space="preserve">https://shirakawa-going.jp/</t>
  </si>
  <si>
    <t xml:space="preserve">food</t>
  </si>
  <si>
    <t xml:space="preserve">accessible_parking_bt</t>
  </si>
  <si>
    <t xml:space="preserve">accessibility</t>
  </si>
  <si>
    <r>
      <rPr>
        <sz val="10"/>
        <color rgb="FF2B2B2B"/>
        <rFont val="Noto Sans CJK SC"/>
        <family val="2"/>
      </rPr>
      <t xml:space="preserve">身体障害者用の駐車スペースは、白川郷バスターミナル内に</t>
    </r>
    <r>
      <rPr>
        <sz val="10"/>
        <color rgb="FF2B2B2B"/>
        <rFont val="Yu Gothic"/>
        <family val="0"/>
        <charset val="1"/>
      </rPr>
      <t xml:space="preserve">2</t>
    </r>
    <r>
      <rPr>
        <sz val="10"/>
        <color rgb="FF2B2B2B"/>
        <rFont val="Noto Sans CJK SC"/>
        <family val="2"/>
      </rPr>
      <t xml:space="preserve">台ございます。障害者手帳をお持ちの方、車椅子をご予約の方、または持参されるなど足の不自由な方を優先しております。ご利用時間は午前</t>
    </r>
    <r>
      <rPr>
        <sz val="10"/>
        <color rgb="FF2B2B2B"/>
        <rFont val="Yu Gothic"/>
        <family val="0"/>
        <charset val="1"/>
      </rPr>
      <t xml:space="preserve">8</t>
    </r>
    <r>
      <rPr>
        <sz val="10"/>
        <color rgb="FF2B2B2B"/>
        <rFont val="Noto Sans CJK SC"/>
        <family val="2"/>
      </rPr>
      <t xml:space="preserve">時から午後</t>
    </r>
    <r>
      <rPr>
        <sz val="10"/>
        <color rgb="FF2B2B2B"/>
        <rFont val="Yu Gothic"/>
        <family val="0"/>
        <charset val="1"/>
      </rPr>
      <t xml:space="preserve">5</t>
    </r>
    <r>
      <rPr>
        <sz val="10"/>
        <color rgb="FF2B2B2B"/>
        <rFont val="Noto Sans CJK SC"/>
        <family val="2"/>
      </rPr>
      <t xml:space="preserve">時まで、駐車料金は</t>
    </r>
    <r>
      <rPr>
        <sz val="10"/>
        <color rgb="FF2B2B2B"/>
        <rFont val="Yu Gothic"/>
        <family val="0"/>
        <charset val="1"/>
      </rPr>
      <t xml:space="preserve">1</t>
    </r>
    <r>
      <rPr>
        <sz val="10"/>
        <color rgb="FF2B2B2B"/>
        <rFont val="Noto Sans CJK SC"/>
        <family val="2"/>
      </rPr>
      <t xml:space="preserve">台</t>
    </r>
    <r>
      <rPr>
        <sz val="10"/>
        <color rgb="FF2B2B2B"/>
        <rFont val="Yu Gothic"/>
        <family val="0"/>
        <charset val="1"/>
      </rPr>
      <t xml:space="preserve">2000</t>
    </r>
    <r>
      <rPr>
        <sz val="10"/>
        <color rgb="FF2B2B2B"/>
        <rFont val="Noto Sans CJK SC"/>
        <family val="2"/>
      </rPr>
      <t xml:space="preserve">円で、障がい者割引はございません。ご利用の際は、白川郷バスターミナル内の観光協会窓口へ直接お越しください。スペースが少ないため、満車の場合はお断りすることがございます。</t>
    </r>
  </si>
  <si>
    <r>
      <rPr>
        <sz val="10"/>
        <color rgb="FF2B2B2B"/>
        <rFont val="Noto Sans CJK SC"/>
        <family val="2"/>
      </rPr>
      <t xml:space="preserve">身体障害者用の駐車スペースは、白川郷バスターミナル内に</t>
    </r>
    <r>
      <rPr>
        <sz val="10"/>
        <color rgb="FF2B2B2B"/>
        <rFont val="Yu Gothic"/>
        <family val="0"/>
        <charset val="1"/>
      </rPr>
      <t xml:space="preserve">2</t>
    </r>
    <r>
      <rPr>
        <sz val="10"/>
        <color rgb="FF2B2B2B"/>
        <rFont val="Noto Sans CJK SC"/>
        <family val="2"/>
      </rPr>
      <t xml:space="preserve">台ございます。観光協会窓口で受付しております。詳しくは画面をご覧ください。</t>
    </r>
  </si>
  <si>
    <t xml:space="preserve">accessible_parking_deai</t>
  </si>
  <si>
    <r>
      <rPr>
        <sz val="10"/>
        <color rgb="FF2B2B2B"/>
        <rFont val="Noto Sans CJK SC"/>
        <family val="2"/>
      </rPr>
      <t xml:space="preserve">身体障害者車いす用駐車スペースは、せせらぎ公園駐車場内に５台ございます。車椅子をご予約の方、または持参されるなど足の不自由な方を優先しております。ご利用時間は午前</t>
    </r>
    <r>
      <rPr>
        <sz val="10"/>
        <color rgb="FF2B2B2B"/>
        <rFont val="Yu Gothic"/>
        <family val="0"/>
        <charset val="1"/>
      </rPr>
      <t xml:space="preserve">8</t>
    </r>
    <r>
      <rPr>
        <sz val="10"/>
        <color rgb="FF2B2B2B"/>
        <rFont val="Noto Sans CJK SC"/>
        <family val="2"/>
      </rPr>
      <t xml:space="preserve">時から午後</t>
    </r>
    <r>
      <rPr>
        <sz val="10"/>
        <color rgb="FF2B2B2B"/>
        <rFont val="Yu Gothic"/>
        <family val="0"/>
        <charset val="1"/>
      </rPr>
      <t xml:space="preserve">5</t>
    </r>
    <r>
      <rPr>
        <sz val="10"/>
        <color rgb="FF2B2B2B"/>
        <rFont val="Noto Sans CJK SC"/>
        <family val="2"/>
      </rPr>
      <t xml:space="preserve">時まで、駐車料金は</t>
    </r>
    <r>
      <rPr>
        <sz val="10"/>
        <color rgb="FF2B2B2B"/>
        <rFont val="Yu Gothic"/>
        <family val="0"/>
        <charset val="1"/>
      </rPr>
      <t xml:space="preserve">1</t>
    </r>
    <r>
      <rPr>
        <sz val="10"/>
        <color rgb="FF2B2B2B"/>
        <rFont val="Noto Sans CJK SC"/>
        <family val="2"/>
      </rPr>
      <t xml:space="preserve">台</t>
    </r>
    <r>
      <rPr>
        <sz val="10"/>
        <color rgb="FF2B2B2B"/>
        <rFont val="Yu Gothic"/>
        <family val="0"/>
        <charset val="1"/>
      </rPr>
      <t xml:space="preserve">2000</t>
    </r>
    <r>
      <rPr>
        <sz val="10"/>
        <color rgb="FF2B2B2B"/>
        <rFont val="Noto Sans CJK SC"/>
        <family val="2"/>
      </rPr>
      <t xml:space="preserve">円で、障がい者割引はございません。車いすはであいの館１階窓口で貸し出しのご案内をしておりますが台数に限りがあります。また駐車スペースも満車の場合はお断りすることがございます。</t>
    </r>
  </si>
  <si>
    <t xml:space="preserve">身体障害者用の駐車スペースは、駐車場内に５台分ございます。ご利用の際はスタッフにお声かけください。</t>
  </si>
  <si>
    <t xml:space="preserve">manner</t>
  </si>
  <si>
    <t xml:space="preserve">True</t>
  </si>
  <si>
    <t xml:space="preserve">other</t>
  </si>
  <si>
    <t xml:space="preserve">2026-10-01</t>
  </si>
  <si>
    <t xml:space="preserve">2026-10-19</t>
  </si>
  <si>
    <t xml:space="preserve">festival_shrine_access_bt</t>
  </si>
  <si>
    <r>
      <rPr>
        <sz val="10"/>
        <color rgb="FF2B2B2B"/>
        <rFont val="Noto Sans CJK SC"/>
        <family val="2"/>
      </rPr>
      <t xml:space="preserve">会場の「白川八幡神社」は、荻町合掌造り集落の南端に位置しています。 白川郷バスターミナルからは、南（合掌造りが並ぶメイン通り）へ向かって徒歩約</t>
    </r>
    <r>
      <rPr>
        <sz val="10"/>
        <color rgb="FF2B2B2B"/>
        <rFont val="Yu Gothic"/>
        <family val="0"/>
        <charset val="1"/>
      </rPr>
      <t xml:space="preserve">15</t>
    </r>
    <r>
      <rPr>
        <sz val="10"/>
        <color rgb="FF2B2B2B"/>
        <rFont val="Noto Sans CJK SC"/>
        <family val="2"/>
      </rPr>
      <t xml:space="preserve">分〜</t>
    </r>
    <r>
      <rPr>
        <sz val="10"/>
        <color rgb="FF2B2B2B"/>
        <rFont val="Yu Gothic"/>
        <family val="0"/>
        <charset val="1"/>
      </rPr>
      <t xml:space="preserve">20</t>
    </r>
    <r>
      <rPr>
        <sz val="10"/>
        <color rgb="FF2B2B2B"/>
        <rFont val="Noto Sans CJK SC"/>
        <family val="2"/>
      </rPr>
      <t xml:space="preserve">分です。</t>
    </r>
  </si>
  <si>
    <t xml:space="preserve">festival_shrine_access_deai</t>
  </si>
  <si>
    <t xml:space="preserve">「白川八幡神社」は、荻町合掌造り集落の南端に位置しています。 であいの館方面からは、であい橋を渡って大通りに出て右（南側）へ進むと到着します。鳥居と大きな杉の木が目印です。</t>
  </si>
  <si>
    <t xml:space="preserve">guesthouse_access_bt</t>
  </si>
  <si>
    <r>
      <rPr>
        <sz val="10"/>
        <color rgb="FF2B2B2B"/>
        <rFont val="Noto Sans CJK SC"/>
        <family val="2"/>
      </rPr>
      <t xml:space="preserve">その建物は鳩谷八幡神社方面にあります。向かわれる際は川沿いの道をお進みください。建物を出て右に行き国道</t>
    </r>
    <r>
      <rPr>
        <sz val="10"/>
        <color rgb="FF2B2B2B"/>
        <rFont val="Yu Gothic"/>
        <family val="0"/>
        <charset val="1"/>
      </rPr>
      <t xml:space="preserve">156</t>
    </r>
    <r>
      <rPr>
        <sz val="10"/>
        <color rgb="FF2B2B2B"/>
        <rFont val="Noto Sans CJK SC"/>
        <family val="2"/>
      </rPr>
      <t xml:space="preserve">号線を進み、川を渡る橋を左に曲がり川沿いを進む道です。</t>
    </r>
  </si>
  <si>
    <t xml:space="preserve">guesthouse_route.jpg</t>
  </si>
  <si>
    <t xml:space="preserve">guesthouse_access_deai</t>
  </si>
  <si>
    <t xml:space="preserve">lost_item_bt</t>
  </si>
  <si>
    <t xml:space="preserve">バス車内でのお忘れ物は、バス会社にお尋ねください。どこから何時発の便か、座席番号などをお知らせいただくと確認ができます。村内での落とし物は、拾得物としての届け出があればお知らせできます。お名前、落とされた物の詳細、ご連絡先をご記入のうえ、メールをお願いいたします。貴重品は警察に直接届けられる場合もありますので、警察にもお電話をお願いいたします。</t>
  </si>
  <si>
    <t xml:space="preserve">お忘れ物は、バス車内のものはバス会社へ、村内のものは観光協会へお問い合わせください。詳しくは画面をご覧ください。</t>
  </si>
  <si>
    <t xml:space="preserve">lost_item_deai</t>
  </si>
  <si>
    <t xml:space="preserve">村内での落とし物は、届け出があればお知らせできます。詳しくは画面をご覧ください。</t>
  </si>
  <si>
    <t xml:space="preserve">yuinosho_bt</t>
  </si>
  <si>
    <r>
      <rPr>
        <sz val="10"/>
        <color rgb="FF2B2B2B"/>
        <rFont val="Noto Sans CJK SC"/>
        <family val="2"/>
      </rPr>
      <t xml:space="preserve">結の庄は道の駅白川郷の裏手、</t>
    </r>
    <r>
      <rPr>
        <sz val="10"/>
        <color rgb="FF2B2B2B"/>
        <rFont val="Yu Gothic"/>
        <family val="0"/>
        <charset val="1"/>
      </rPr>
      <t xml:space="preserve">3.1</t>
    </r>
    <r>
      <rPr>
        <sz val="10"/>
        <color rgb="FF2B2B2B"/>
        <rFont val="Noto Sans CJK SC"/>
        <family val="2"/>
      </rPr>
      <t xml:space="preserve">ｋｍ先にあり、歩くとおよそ</t>
    </r>
    <r>
      <rPr>
        <sz val="10"/>
        <color rgb="FF2B2B2B"/>
        <rFont val="Yu Gothic"/>
        <family val="0"/>
        <charset val="1"/>
      </rPr>
      <t xml:space="preserve">30</t>
    </r>
    <r>
      <rPr>
        <sz val="10"/>
        <color rgb="FF2B2B2B"/>
        <rFont val="Noto Sans CJK SC"/>
        <family val="2"/>
      </rPr>
      <t xml:space="preserve">分かかります。国道は交通量が多いため、川沿いの道をおすすめしております。国道</t>
    </r>
    <r>
      <rPr>
        <sz val="10"/>
        <color rgb="FF2B2B2B"/>
        <rFont val="Yu Gothic"/>
        <family val="0"/>
        <charset val="1"/>
      </rPr>
      <t xml:space="preserve">156</t>
    </r>
    <r>
      <rPr>
        <sz val="10"/>
        <color rgb="FF2B2B2B"/>
        <rFont val="Noto Sans CJK SC"/>
        <family val="2"/>
      </rPr>
      <t xml:space="preserve">号線を進み、川を渡る橋を左に曲がって川沿いに進む道です。途中にお手洗いもございます。送迎は午後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分から始まります。翌日バスターミナルに戻るバスは、結の庄のカウンターでご予約ください。</t>
    </r>
  </si>
  <si>
    <r>
      <rPr>
        <sz val="10"/>
        <color rgb="FF2B2B2B"/>
        <rFont val="Noto Sans CJK SC"/>
        <family val="2"/>
      </rPr>
      <t xml:space="preserve">結の庄へは歩いておよそ</t>
    </r>
    <r>
      <rPr>
        <sz val="10"/>
        <color rgb="FF2B2B2B"/>
        <rFont val="Yu Gothic"/>
        <family val="0"/>
        <charset val="1"/>
      </rPr>
      <t xml:space="preserve">30</t>
    </r>
    <r>
      <rPr>
        <sz val="10"/>
        <color rgb="FF2B2B2B"/>
        <rFont val="Noto Sans CJK SC"/>
        <family val="2"/>
      </rPr>
      <t xml:space="preserve">分です。国道は交通量が多いため、川沿いの道をおすすめしております。送迎は午後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分からです。詳しくは画面をご覧ください。</t>
    </r>
  </si>
  <si>
    <t xml:space="preserve">yuinosho_deai</t>
  </si>
  <si>
    <r>
      <rPr>
        <sz val="10"/>
        <color rgb="FF2B2B2B"/>
        <rFont val="Noto Sans CJK SC"/>
        <family val="2"/>
      </rPr>
      <t xml:space="preserve">結の庄は道の駅白川郷の裏手、</t>
    </r>
    <r>
      <rPr>
        <sz val="10"/>
        <color rgb="FF2B2B2B"/>
        <rFont val="Yu Gothic"/>
        <family val="0"/>
        <charset val="1"/>
      </rPr>
      <t xml:space="preserve">3.1</t>
    </r>
    <r>
      <rPr>
        <sz val="10"/>
        <color rgb="FF2B2B2B"/>
        <rFont val="Noto Sans CJK SC"/>
        <family val="2"/>
      </rPr>
      <t xml:space="preserve">ｋｍ先にあり、歩くとおよそ</t>
    </r>
    <r>
      <rPr>
        <sz val="10"/>
        <color rgb="FF2B2B2B"/>
        <rFont val="Yu Gothic"/>
        <family val="0"/>
        <charset val="1"/>
      </rPr>
      <t xml:space="preserve">40</t>
    </r>
    <r>
      <rPr>
        <sz val="10"/>
        <color rgb="FF2B2B2B"/>
        <rFont val="Noto Sans CJK SC"/>
        <family val="2"/>
      </rPr>
      <t xml:space="preserve">分かかります。国道は交通量が多いため、川沿いの道をおすすめしております。途中にお手洗いもございます。送迎は午後</t>
    </r>
    <r>
      <rPr>
        <sz val="10"/>
        <color rgb="FF2B2B2B"/>
        <rFont val="Yu Gothic"/>
        <family val="0"/>
        <charset val="1"/>
      </rPr>
      <t xml:space="preserve">2</t>
    </r>
    <r>
      <rPr>
        <sz val="10"/>
        <color rgb="FF2B2B2B"/>
        <rFont val="Noto Sans CJK SC"/>
        <family val="2"/>
      </rPr>
      <t xml:space="preserve">時</t>
    </r>
    <r>
      <rPr>
        <sz val="10"/>
        <color rgb="FF2B2B2B"/>
        <rFont val="Yu Gothic"/>
        <family val="0"/>
        <charset val="1"/>
      </rPr>
      <t xml:space="preserve">30</t>
    </r>
    <r>
      <rPr>
        <sz val="10"/>
        <color rgb="FF2B2B2B"/>
        <rFont val="Noto Sans CJK SC"/>
        <family val="2"/>
      </rPr>
      <t xml:space="preserve">分から始まります。翌日バスターミナルに戻るバスは、結の庄のカウンターでご予約ください。</t>
    </r>
  </si>
  <si>
    <r>
      <rPr>
        <sz val="10"/>
        <color rgb="FF2B2B2B"/>
        <rFont val="Noto Sans CJK SC"/>
        <family val="2"/>
      </rPr>
      <t xml:space="preserve">結の庄へは歩いておよそ</t>
    </r>
    <r>
      <rPr>
        <sz val="10"/>
        <color rgb="FF2B2B2B"/>
        <rFont val="Yu Gothic"/>
        <family val="0"/>
        <charset val="1"/>
      </rPr>
      <t xml:space="preserve">40</t>
    </r>
    <r>
      <rPr>
        <sz val="10"/>
        <color rgb="FF2B2B2B"/>
        <rFont val="Noto Sans CJK SC"/>
        <family val="2"/>
      </rPr>
      <t xml:space="preserve">分です。国道は交通量が多いため、川沿いの道をおすすめしております。詳しい道順は画面をご覧ください。</t>
    </r>
  </si>
  <si>
    <t xml:space="preserve">bus_next.wav</t>
  </si>
  <si>
    <t xml:space="preserve">village_bus.wav</t>
  </si>
  <si>
    <t xml:space="preserve">snow_boots.wav</t>
  </si>
  <si>
    <t xml:space="preserve">FALSE</t>
  </si>
  <si>
    <t xml:space="preserve">https://shirakawa-go.gr.jp/download/</t>
  </si>
  <si>
    <t xml:space="preserve">toilet.wav</t>
  </si>
  <si>
    <t xml:space="preserve">https://shirakawa-go.gr.jp/active/</t>
  </si>
  <si>
    <t xml:space="preserve">gassho_facilities.wav</t>
  </si>
  <si>
    <t xml:space="preserve">https://shirakawa-go.gr.jp/events/245/</t>
  </si>
  <si>
    <t xml:space="preserve">restaurants.wav</t>
  </si>
  <si>
    <t xml:space="preserve">season</t>
  </si>
  <si>
    <t xml:space="preserve">sakura_kouyou.wav</t>
  </si>
  <si>
    <t xml:space="preserve">https://weather.yahoo.co.jp/weather/jp/21/5220/21604.html</t>
  </si>
  <si>
    <t xml:space="preserve">snowfall.wav</t>
  </si>
  <si>
    <t xml:space="preserve">studless.wav</t>
  </si>
  <si>
    <t xml:space="preserve">visit_hours.wav</t>
  </si>
  <si>
    <r>
      <rPr>
        <b val="true"/>
        <sz val="13"/>
        <color rgb="FF1F3D20"/>
        <rFont val="Noto Sans CJK SC"/>
        <family val="2"/>
      </rPr>
      <t xml:space="preserve">宿泊施設（ゲストハウス）への道順　— バスターミナルからの資料（</t>
    </r>
    <r>
      <rPr>
        <b val="true"/>
        <sz val="13"/>
        <color rgb="FF1F3D20"/>
        <rFont val="Yu Gothic"/>
        <family val="0"/>
        <charset val="1"/>
      </rPr>
      <t xml:space="preserve">PowerPoint 2</t>
    </r>
    <r>
      <rPr>
        <b val="true"/>
        <sz val="13"/>
        <color rgb="FF1F3D20"/>
        <rFont val="Noto Sans CJK SC"/>
        <family val="2"/>
      </rPr>
      <t xml:space="preserve">枚）</t>
    </r>
  </si>
  <si>
    <r>
      <rPr>
        <sz val="10"/>
        <rFont val="Yu Gothic"/>
        <family val="0"/>
        <charset val="1"/>
      </rPr>
      <t xml:space="preserve">1</t>
    </r>
    <r>
      <rPr>
        <sz val="10"/>
        <rFont val="Noto Sans CJK SC"/>
        <family val="2"/>
      </rPr>
      <t xml:space="preserve">枚目をバスターミナル版ゲストハウス案内の写真（</t>
    </r>
    <r>
      <rPr>
        <sz val="10"/>
        <rFont val="Yu Gothic"/>
        <family val="0"/>
        <charset val="1"/>
      </rPr>
      <t xml:space="preserve">guesthouse_route.jpg</t>
    </r>
    <r>
      <rPr>
        <sz val="10"/>
        <rFont val="Noto Sans CJK SC"/>
        <family val="2"/>
      </rPr>
      <t xml:space="preserve">）として登録。① バスターミナル前の信号を渡って反対側へ　② 青い標識で左に曲がり橋を渡る　</t>
    </r>
    <r>
      <rPr>
        <sz val="10"/>
        <rFont val="Yu Gothic"/>
        <family val="0"/>
        <charset val="1"/>
      </rPr>
      <t xml:space="preserve">× </t>
    </r>
    <r>
      <rPr>
        <sz val="10"/>
        <rFont val="Noto Sans CJK SC"/>
        <family val="2"/>
      </rPr>
      <t xml:space="preserve">国道の一部区間は歩行に危険</t>
    </r>
  </si>
</sst>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6"/>
      <color rgb="FF1F3D20"/>
      <name val="Noto Sans CJK SC"/>
      <family val="2"/>
    </font>
    <font>
      <sz val="10"/>
      <name val="Yu Gothic"/>
      <family val="0"/>
      <charset val="1"/>
    </font>
    <font>
      <sz val="10"/>
      <name val="Noto Sans CJK SC"/>
      <family val="2"/>
    </font>
    <font>
      <b val="true"/>
      <sz val="11"/>
      <color rgb="FF2C5F2D"/>
      <name val="Noto Sans CJK SC"/>
      <family val="2"/>
    </font>
    <font>
      <b val="true"/>
      <sz val="10"/>
      <name val="Noto Sans CJK SC"/>
      <family val="2"/>
    </font>
    <font>
      <b val="true"/>
      <sz val="10"/>
      <name val="Yu Gothic"/>
      <family val="0"/>
      <charset val="1"/>
    </font>
    <font>
      <b val="true"/>
      <sz val="10"/>
      <color rgb="FFFFFFFF"/>
      <name val="Yu Gothic"/>
      <family val="0"/>
      <charset val="1"/>
    </font>
    <font>
      <b val="true"/>
      <sz val="10"/>
      <color rgb="FFFFFFFF"/>
      <name val="Noto Sans CJK SC"/>
      <family val="2"/>
    </font>
    <font>
      <sz val="10"/>
      <color rgb="FF2B2B2B"/>
      <name val="Yu Gothic"/>
      <family val="0"/>
      <charset val="1"/>
    </font>
    <font>
      <sz val="10"/>
      <color rgb="FF2B2B2B"/>
      <name val="Noto Sans CJK SC"/>
      <family val="2"/>
    </font>
    <font>
      <b val="true"/>
      <sz val="10"/>
      <color rgb="FF2B2B2B"/>
      <name val="Noto Sans CJK SC"/>
      <family val="2"/>
    </font>
    <font>
      <b val="true"/>
      <sz val="10"/>
      <color rgb="FFB03A2E"/>
      <name val="Noto Sans CJK SC"/>
      <family val="2"/>
    </font>
    <font>
      <b val="true"/>
      <sz val="10"/>
      <color rgb="FFB03A2E"/>
      <name val="Yu Gothic"/>
      <family val="0"/>
      <charset val="1"/>
    </font>
    <font>
      <i val="true"/>
      <sz val="10"/>
      <color rgb="FF9AA39A"/>
      <name val="Noto Sans CJK SC"/>
      <family val="2"/>
    </font>
    <font>
      <b val="true"/>
      <sz val="10"/>
      <color rgb="FF2B2B2B"/>
      <name val="Yu Gothic"/>
      <family val="0"/>
      <charset val="1"/>
    </font>
    <font>
      <sz val="10"/>
      <color rgb="FF8A968A"/>
      <name val="Yu Gothic"/>
      <family val="0"/>
      <charset val="1"/>
    </font>
    <font>
      <b val="true"/>
      <sz val="13"/>
      <color rgb="FF1F3D20"/>
      <name val="Noto Sans CJK SC"/>
      <family val="2"/>
    </font>
    <font>
      <b val="true"/>
      <sz val="13"/>
      <color rgb="FF1F3D20"/>
      <name val="Yu Gothic"/>
      <family val="0"/>
      <charset val="1"/>
    </font>
  </fonts>
  <fills count="11">
    <fill>
      <patternFill patternType="none"/>
    </fill>
    <fill>
      <patternFill patternType="gray125"/>
    </fill>
    <fill>
      <patternFill patternType="solid">
        <fgColor rgb="FF2C5F2D"/>
        <bgColor rgb="FF1F3D20"/>
      </patternFill>
    </fill>
    <fill>
      <patternFill patternType="solid">
        <fgColor rgb="FFEDF4E6"/>
        <bgColor rgb="FFF2F2F2"/>
      </patternFill>
    </fill>
    <fill>
      <patternFill patternType="solid">
        <fgColor rgb="FFFFF8EC"/>
        <bgColor rgb="FFFFFDF0"/>
      </patternFill>
    </fill>
    <fill>
      <patternFill patternType="solid">
        <fgColor rgb="FFEAF2FB"/>
        <bgColor rgb="FFF2F2F2"/>
      </patternFill>
    </fill>
    <fill>
      <patternFill patternType="solid">
        <fgColor rgb="FFF7F7F2"/>
        <bgColor rgb="FFF2F2F2"/>
      </patternFill>
    </fill>
    <fill>
      <patternFill patternType="solid">
        <fgColor rgb="FFFFFFFF"/>
        <bgColor rgb="FFFFFDF0"/>
      </patternFill>
    </fill>
    <fill>
      <patternFill patternType="solid">
        <fgColor rgb="FFF2F2F2"/>
        <bgColor rgb="FFF7F7F2"/>
      </patternFill>
    </fill>
    <fill>
      <patternFill patternType="solid">
        <fgColor rgb="FFE4E4E4"/>
        <bgColor rgb="FFEDF4E6"/>
      </patternFill>
    </fill>
    <fill>
      <patternFill patternType="solid">
        <fgColor rgb="FFFFFDF0"/>
        <bgColor rgb="FFFFF8EC"/>
      </patternFill>
    </fill>
  </fills>
  <borders count="2">
    <border diagonalUp="false" diagonalDown="false">
      <left/>
      <right/>
      <top/>
      <bottom/>
      <diagonal/>
    </border>
    <border diagonalUp="false" diagonalDown="false">
      <left style="thin">
        <color rgb="FFC3D2BC"/>
      </left>
      <right style="thin">
        <color rgb="FFC3D2BC"/>
      </right>
      <top style="thin">
        <color rgb="FFC3D2BC"/>
      </top>
      <bottom style="thin">
        <color rgb="FFC3D2B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17" fillId="6"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2" fillId="9" borderId="1" xfId="0" applyFont="true" applyBorder="true" applyAlignment="true" applyProtection="false">
      <alignment horizontal="center" vertical="top" textRotation="0" wrapText="tru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3" fillId="1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2" fillId="1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9" fillId="0" borderId="1" xfId="0" applyFont="true" applyBorder="true" applyAlignment="true" applyProtection="false">
      <alignment horizontal="general" vertical="top" textRotation="0" wrapText="false" indent="0" shrinkToFit="false"/>
      <protection locked="true" hidden="false"/>
    </xf>
    <xf numFmtId="164" fontId="12" fillId="9" borderId="1" xfId="0" applyFont="true" applyBorder="true" applyAlignment="true" applyProtection="false">
      <alignment horizontal="general" vertical="top" textRotation="0" wrapText="false" indent="0" shrinkToFit="false"/>
      <protection locked="true" hidden="false"/>
    </xf>
    <xf numFmtId="164" fontId="13" fillId="9" borderId="1" xfId="0" applyFont="true" applyBorder="true" applyAlignment="true" applyProtection="false">
      <alignment horizontal="general" vertical="top" textRotation="0" wrapText="false" indent="0" shrinkToFit="false"/>
      <protection locked="true" hidden="false"/>
    </xf>
    <xf numFmtId="164" fontId="19" fillId="9" borderId="1" xfId="0" applyFont="true" applyBorder="true" applyAlignment="true" applyProtection="false">
      <alignment horizontal="general" vertical="top"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C5F2D"/>
          <bgColor rgb="FF000000"/>
        </patternFill>
      </fill>
    </dxf>
    <dxf>
      <fill>
        <patternFill patternType="solid">
          <fgColor rgb="FFE4E4E4"/>
          <bgColor rgb="FF000000"/>
        </patternFill>
      </fill>
    </dxf>
    <dxf>
      <fill>
        <patternFill patternType="solid">
          <fgColor rgb="FFEAF2FB"/>
          <bgColor rgb="FF000000"/>
        </patternFill>
      </fill>
    </dxf>
    <dxf>
      <fill>
        <patternFill patternType="solid">
          <fgColor rgb="FFEDF4E6"/>
          <bgColor rgb="FF000000"/>
        </patternFill>
      </fill>
    </dxf>
    <dxf>
      <fill>
        <patternFill patternType="solid">
          <fgColor rgb="FFF2F2F2"/>
          <bgColor rgb="FF000000"/>
        </patternFill>
      </fill>
    </dxf>
    <dxf>
      <fill>
        <patternFill patternType="solid">
          <fgColor rgb="FFF7F7F2"/>
          <bgColor rgb="FF000000"/>
        </patternFill>
      </fill>
    </dxf>
    <dxf>
      <fill>
        <patternFill patternType="solid">
          <fgColor rgb="FFFFF8EC"/>
          <bgColor rgb="FF000000"/>
        </patternFill>
      </fill>
    </dxf>
    <dxf>
      <fill>
        <patternFill patternType="solid">
          <fgColor rgb="FFFFFFFF"/>
          <bgColor rgb="FF000000"/>
        </patternFill>
      </fill>
    </dxf>
    <dxf>
      <fill>
        <patternFill patternType="solid">
          <fgColor rgb="FF2B2B2B"/>
          <bgColor rgb="FF000000"/>
        </patternFill>
      </fill>
    </dxf>
    <dxf>
      <fill>
        <patternFill patternType="solid">
          <fgColor rgb="FF000000"/>
          <bgColor rgb="FF000000"/>
        </patternFill>
      </fill>
    </dxf>
    <dxf>
      <fill>
        <patternFill patternType="solid">
          <fgColor rgb="FF9AA39A"/>
          <bgColor rgb="FF000000"/>
        </patternFill>
      </fill>
    </dxf>
    <dxf>
      <fill>
        <patternFill patternType="solid">
          <fgColor rgb="FFFFFDF0"/>
          <bgColor rgb="FF000000"/>
        </patternFill>
      </fill>
    </dxf>
    <dxf>
      <fill>
        <patternFill patternType="solid">
          <bgColor rgb="FF000000"/>
        </patternFill>
      </fill>
    </dxf>
    <dxf>
      <fill>
        <patternFill patternType="solid">
          <fgColor rgb="FF8A968A"/>
          <bgColor rgb="FF000000"/>
        </patternFill>
      </fill>
    </dxf>
  </dxfs>
  <colors>
    <indexedColors>
      <rgbColor rgb="FF000000"/>
      <rgbColor rgb="FFFFFFFF"/>
      <rgbColor rgb="FFFF0000"/>
      <rgbColor rgb="FF00FF00"/>
      <rgbColor rgb="FF0000FF"/>
      <rgbColor rgb="FFFFFF00"/>
      <rgbColor rgb="FFFF00FF"/>
      <rgbColor rgb="FF00FFFF"/>
      <rgbColor rgb="FF800000"/>
      <rgbColor rgb="FF2C5F2D"/>
      <rgbColor rgb="FF000080"/>
      <rgbColor rgb="FF808000"/>
      <rgbColor rgb="FF800080"/>
      <rgbColor rgb="FF008080"/>
      <rgbColor rgb="FFC3D2BC"/>
      <rgbColor rgb="FF9AA39A"/>
      <rgbColor rgb="FF9999FF"/>
      <rgbColor rgb="FF993366"/>
      <rgbColor rgb="FFFFF8EC"/>
      <rgbColor rgb="FFEAF2FB"/>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EDF4E6"/>
      <rgbColor rgb="FFF2F2F2"/>
      <rgbColor rgb="FFFFFDF0"/>
      <rgbColor rgb="FF99CCFF"/>
      <rgbColor rgb="FFFF99CC"/>
      <rgbColor rgb="FFCC99FF"/>
      <rgbColor rgb="FFF7F7F2"/>
      <rgbColor rgb="FF3366FF"/>
      <rgbColor rgb="FF33CCCC"/>
      <rgbColor rgb="FF99CC00"/>
      <rgbColor rgb="FFFFCC00"/>
      <rgbColor rgb="FFFF9900"/>
      <rgbColor rgb="FFFF6600"/>
      <rgbColor rgb="FF666699"/>
      <rgbColor rgb="FF8A968A"/>
      <rgbColor rgb="FF003366"/>
      <rgbColor rgb="FF339966"/>
      <rgbColor rgb="FF003300"/>
      <rgbColor rgb="FF1F3D20"/>
      <rgbColor rgb="FFB03A2E"/>
      <rgbColor rgb="FF993366"/>
      <rgbColor rgb="FF333399"/>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126000</xdr:rowOff>
    </xdr:from>
    <xdr:to>
      <xdr:col>14</xdr:col>
      <xdr:colOff>11160</xdr:colOff>
      <xdr:row>27</xdr:row>
      <xdr:rowOff>182880</xdr:rowOff>
    </xdr:to>
    <xdr:pic>
      <xdr:nvPicPr>
        <xdr:cNvPr id="0" name="Image 1" descr="Picture"/>
        <xdr:cNvPicPr/>
      </xdr:nvPicPr>
      <xdr:blipFill>
        <a:blip r:embed="rId1"/>
        <a:stretch/>
      </xdr:blipFill>
      <xdr:spPr>
        <a:xfrm>
          <a:off x="0" y="571680"/>
          <a:ext cx="8572320" cy="4819320"/>
        </a:xfrm>
        <a:prstGeom prst="rect">
          <a:avLst/>
        </a:prstGeom>
        <a:ln w="0">
          <a:noFill/>
        </a:ln>
      </xdr:spPr>
    </xdr:pic>
    <xdr:clientData/>
  </xdr:twoCellAnchor>
  <xdr:twoCellAnchor editAs="oneCell">
    <xdr:from>
      <xdr:col>0</xdr:col>
      <xdr:colOff>0</xdr:colOff>
      <xdr:row>30</xdr:row>
      <xdr:rowOff>125640</xdr:rowOff>
    </xdr:from>
    <xdr:to>
      <xdr:col>14</xdr:col>
      <xdr:colOff>11160</xdr:colOff>
      <xdr:row>55</xdr:row>
      <xdr:rowOff>182520</xdr:rowOff>
    </xdr:to>
    <xdr:pic>
      <xdr:nvPicPr>
        <xdr:cNvPr id="1" name="Image 2" descr="Picture"/>
        <xdr:cNvPicPr/>
      </xdr:nvPicPr>
      <xdr:blipFill>
        <a:blip r:embed="rId2"/>
        <a:stretch/>
      </xdr:blipFill>
      <xdr:spPr>
        <a:xfrm>
          <a:off x="0" y="5905440"/>
          <a:ext cx="8572320" cy="48193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8" customFormat="false" ht="15" hidden="false" customHeight="false" outlineLevel="0" collapsed="false">
      <c r="A8" s="4" t="s">
        <v>9</v>
      </c>
      <c r="B8" s="5" t="s">
        <v>10</v>
      </c>
    </row>
    <row r="9" customFormat="false" ht="15" hidden="false" customHeight="false" outlineLevel="0" collapsed="false">
      <c r="A9" s="2"/>
    </row>
    <row r="10" customFormat="false" ht="15" hidden="false" customHeight="false" outlineLevel="0" collapsed="false">
      <c r="A10" s="3" t="s">
        <v>11</v>
      </c>
    </row>
    <row r="11" customFormat="false" ht="29.85" hidden="false" customHeight="false" outlineLevel="0" collapsed="false">
      <c r="A11" s="4" t="s">
        <v>12</v>
      </c>
      <c r="B11" s="6" t="s">
        <v>13</v>
      </c>
    </row>
    <row r="12" customFormat="false" ht="15" hidden="false" customHeight="false" outlineLevel="0" collapsed="false">
      <c r="A12" s="4" t="s">
        <v>14</v>
      </c>
      <c r="B12" s="5" t="s">
        <v>15</v>
      </c>
    </row>
    <row r="13" customFormat="false" ht="15" hidden="false" customHeight="false" outlineLevel="0" collapsed="false">
      <c r="A13" s="4" t="s">
        <v>16</v>
      </c>
      <c r="B13" s="5" t="s">
        <v>17</v>
      </c>
    </row>
    <row r="14" customFormat="false" ht="15" hidden="false" customHeight="false" outlineLevel="0" collapsed="false">
      <c r="A14" s="4" t="s">
        <v>18</v>
      </c>
      <c r="B14" s="5" t="s">
        <v>19</v>
      </c>
    </row>
    <row r="15" customFormat="false" ht="15" hidden="false" customHeight="false" outlineLevel="0" collapsed="false">
      <c r="A15" s="4" t="s">
        <v>20</v>
      </c>
      <c r="B15" s="5" t="s">
        <v>21</v>
      </c>
    </row>
    <row r="16" customFormat="false" ht="15" hidden="false" customHeight="false" outlineLevel="0" collapsed="false">
      <c r="A16" s="2"/>
    </row>
    <row r="17" customFormat="false" ht="15" hidden="false" customHeight="false" outlineLevel="0" collapsed="false">
      <c r="A17" s="3" t="s">
        <v>22</v>
      </c>
    </row>
    <row r="18" customFormat="false" ht="15" hidden="false" customHeight="false" outlineLevel="0" collapsed="false">
      <c r="A18" s="4" t="s">
        <v>23</v>
      </c>
      <c r="B18" s="5" t="s">
        <v>24</v>
      </c>
    </row>
    <row r="19" customFormat="false" ht="15" hidden="false" customHeight="false" outlineLevel="0" collapsed="false">
      <c r="A19" s="4" t="s">
        <v>25</v>
      </c>
      <c r="B19" s="5" t="s">
        <v>26</v>
      </c>
    </row>
    <row r="20" customFormat="false" ht="15" hidden="false" customHeight="false" outlineLevel="0" collapsed="false">
      <c r="A20" s="4" t="s">
        <v>27</v>
      </c>
      <c r="B20" s="5" t="s">
        <v>28</v>
      </c>
    </row>
    <row r="21" customFormat="false" ht="15" hidden="false" customHeight="false" outlineLevel="0" collapsed="false">
      <c r="A21" s="4" t="s">
        <v>29</v>
      </c>
      <c r="B21" s="5" t="s">
        <v>30</v>
      </c>
    </row>
    <row r="22" customFormat="false" ht="15" hidden="false" customHeight="false" outlineLevel="0" collapsed="false">
      <c r="A22" s="4" t="s">
        <v>31</v>
      </c>
      <c r="B22" s="5" t="s">
        <v>32</v>
      </c>
    </row>
    <row r="23" customFormat="false" ht="15" hidden="false" customHeight="false" outlineLevel="0" collapsed="false">
      <c r="A23" s="4" t="s">
        <v>33</v>
      </c>
      <c r="B23" s="5" t="s">
        <v>34</v>
      </c>
    </row>
    <row r="24" customFormat="false" ht="15" hidden="false" customHeight="false" outlineLevel="0" collapsed="false">
      <c r="A24" s="4" t="s">
        <v>35</v>
      </c>
      <c r="B24" s="5" t="s">
        <v>36</v>
      </c>
    </row>
    <row r="25" customFormat="false" ht="15" hidden="false" customHeight="false" outlineLevel="0" collapsed="false">
      <c r="A25" s="2"/>
    </row>
    <row r="26" customFormat="false" ht="15" hidden="false" customHeight="false" outlineLevel="0" collapsed="false">
      <c r="A26" s="3" t="s">
        <v>37</v>
      </c>
    </row>
    <row r="27" customFormat="false" ht="15" hidden="false" customHeight="false" outlineLevel="0" collapsed="false">
      <c r="A27" s="7" t="s">
        <v>38</v>
      </c>
      <c r="B27" s="8" t="n">
        <f aca="false">COUNTA(両館の回答!B2:B50)</f>
        <v>49</v>
      </c>
    </row>
    <row r="28" customFormat="false" ht="15" hidden="false" customHeight="false" outlineLevel="0" collapsed="false">
      <c r="A28" s="7" t="s">
        <v>23</v>
      </c>
      <c r="B28" s="8" t="n">
        <f aca="false">COUNTIF(両館の回答!D2:D50,"食い違い（要確認）")</f>
        <v>0</v>
      </c>
    </row>
    <row r="29" customFormat="false" ht="15" hidden="false" customHeight="false" outlineLevel="0" collapsed="false">
      <c r="A29" s="7" t="s">
        <v>25</v>
      </c>
      <c r="B29" s="8" t="n">
        <f aca="false">COUNTIF(両館の回答!D2:D50,"表現の違い（館ごとに確定）")</f>
        <v>1</v>
      </c>
    </row>
    <row r="30" customFormat="false" ht="15" hidden="false" customHeight="false" outlineLevel="0" collapsed="false">
      <c r="A30" s="7" t="s">
        <v>27</v>
      </c>
      <c r="B30" s="8" t="n">
        <f aca="false">COUNTIF(両館の回答!D2:D50,"場所による違い")</f>
        <v>10</v>
      </c>
    </row>
    <row r="31" customFormat="false" ht="15" hidden="false" customHeight="false" outlineLevel="0" collapsed="false">
      <c r="A31" s="7" t="s">
        <v>29</v>
      </c>
      <c r="B31" s="8" t="n">
        <f aca="false">COUNTIF(両館の回答!D2:D50,"決定を反映（同じ内容）")</f>
        <v>17</v>
      </c>
    </row>
    <row r="32" customFormat="false" ht="15" hidden="false" customHeight="false" outlineLevel="0" collapsed="false">
      <c r="A32" s="7" t="s">
        <v>31</v>
      </c>
      <c r="B32" s="8" t="n">
        <f aca="false">COUNTIF(両館の回答!D2:D50,"同じ内容")</f>
        <v>4</v>
      </c>
    </row>
    <row r="33" customFormat="false" ht="15" hidden="false" customHeight="false" outlineLevel="0" collapsed="false">
      <c r="A33" s="7" t="s">
        <v>39</v>
      </c>
      <c r="B33" s="8" t="n">
        <f aca="false">COUNTIF(両館の回答!D2:D50,"バスターミナルのみ")</f>
        <v>3</v>
      </c>
    </row>
    <row r="34" customFormat="false" ht="15" hidden="false" customHeight="false" outlineLevel="0" collapsed="false">
      <c r="A34" s="7" t="s">
        <v>40</v>
      </c>
      <c r="B34" s="8" t="n">
        <f aca="false">COUNTIF(両館の回答!D2:D50,"であいの館のみ")</f>
        <v>0</v>
      </c>
    </row>
    <row r="35" customFormat="false" ht="15" hidden="false" customHeight="false" outlineLevel="0" collapsed="false">
      <c r="A35" s="7" t="s">
        <v>35</v>
      </c>
      <c r="B35" s="8" t="n">
        <f aca="false">COUNTIF(両館の回答!D2:D50,"確認対象外（共通）")+COUNTIF(両館の回答!D2:D50,"掲載終了")</f>
        <v>14</v>
      </c>
    </row>
    <row r="36" customFormat="false" ht="15" hidden="false" customHeight="false" outlineLevel="0" collapsed="false">
      <c r="A36" s="7" t="s">
        <v>41</v>
      </c>
      <c r="B36" s="8" t="n">
        <f aca="false">COUNTA(登録用!A2:A61)</f>
        <v>60</v>
      </c>
    </row>
    <row r="37" customFormat="false" ht="15" hidden="false" customHeight="false" outlineLevel="0" collapsed="false">
      <c r="A37" s="2"/>
    </row>
    <row r="38" customFormat="false" ht="15" hidden="false" customHeight="false" outlineLevel="0" collapsed="false">
      <c r="A38" s="3" t="s">
        <v>42</v>
      </c>
    </row>
    <row r="39" customFormat="false" ht="15" hidden="false" customHeight="false" outlineLevel="0" collapsed="false">
      <c r="A39" s="9" t="s">
        <v>43</v>
      </c>
      <c r="B39" s="5" t="s">
        <v>44</v>
      </c>
    </row>
    <row r="40" customFormat="false" ht="15" hidden="false" customHeight="false" outlineLevel="0" collapsed="false">
      <c r="A40" s="9" t="s">
        <v>45</v>
      </c>
      <c r="B40" s="5" t="s">
        <v>46</v>
      </c>
    </row>
    <row r="41" customFormat="false" ht="15" hidden="false" customHeight="false" outlineLevel="0" collapsed="false">
      <c r="A41" s="9" t="s">
        <v>47</v>
      </c>
      <c r="B41" s="5"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2"/>
    <col collapsed="false" customWidth="true" hidden="false" outlineLevel="0" max="4" min="4" style="0" width="15"/>
    <col collapsed="false" customWidth="true" hidden="false" outlineLevel="0" max="5" min="5" style="0" width="22"/>
    <col collapsed="false" customWidth="true" hidden="false" outlineLevel="0" max="7" min="6" style="0" width="46"/>
    <col collapsed="false" customWidth="true" hidden="false" outlineLevel="0" max="9" min="8" style="0" width="30"/>
    <col collapsed="false" customWidth="true" hidden="false" outlineLevel="0" max="11" min="10" style="0" width="11"/>
    <col collapsed="false" customWidth="true" hidden="false" outlineLevel="0" max="12" min="12" style="0" width="24"/>
    <col collapsed="false" customWidth="true" hidden="false" outlineLevel="0" max="13" min="13" style="0" width="40"/>
  </cols>
  <sheetData>
    <row r="1" customFormat="false" ht="33.75" hidden="false" customHeight="true" outlineLevel="0" collapsed="false">
      <c r="A1" s="10" t="s">
        <v>49</v>
      </c>
      <c r="B1" s="11" t="s">
        <v>50</v>
      </c>
      <c r="C1" s="11" t="s">
        <v>51</v>
      </c>
      <c r="D1" s="11" t="s">
        <v>52</v>
      </c>
      <c r="E1" s="11" t="s">
        <v>53</v>
      </c>
      <c r="F1" s="11" t="s">
        <v>54</v>
      </c>
      <c r="G1" s="11" t="s">
        <v>55</v>
      </c>
      <c r="H1" s="11" t="s">
        <v>56</v>
      </c>
      <c r="I1" s="11" t="s">
        <v>57</v>
      </c>
      <c r="J1" s="11" t="s">
        <v>58</v>
      </c>
      <c r="K1" s="11" t="s">
        <v>59</v>
      </c>
      <c r="L1" s="11" t="s">
        <v>60</v>
      </c>
      <c r="M1" s="11" t="s">
        <v>61</v>
      </c>
    </row>
    <row r="2" customFormat="false" ht="173.25" hidden="false" customHeight="true" outlineLevel="0" collapsed="false">
      <c r="A2" s="12" t="n">
        <v>1</v>
      </c>
      <c r="B2" s="13" t="s">
        <v>62</v>
      </c>
      <c r="C2" s="14" t="s">
        <v>63</v>
      </c>
      <c r="D2" s="15" t="s">
        <v>29</v>
      </c>
      <c r="E2" s="14" t="s">
        <v>64</v>
      </c>
      <c r="F2" s="14" t="s">
        <v>65</v>
      </c>
      <c r="G2" s="14" t="s">
        <v>65</v>
      </c>
      <c r="H2" s="14" t="s">
        <v>66</v>
      </c>
      <c r="I2" s="14" t="s">
        <v>66</v>
      </c>
      <c r="J2" s="16" t="s">
        <v>67</v>
      </c>
      <c r="K2" s="16" t="s">
        <v>67</v>
      </c>
      <c r="L2" s="14" t="s">
        <v>68</v>
      </c>
      <c r="M2" s="14" t="s">
        <v>69</v>
      </c>
    </row>
    <row r="3" customFormat="false" ht="92.25" hidden="false" customHeight="true" outlineLevel="0" collapsed="false">
      <c r="A3" s="12" t="n">
        <v>2</v>
      </c>
      <c r="B3" s="13" t="s">
        <v>70</v>
      </c>
      <c r="C3" s="14" t="s">
        <v>63</v>
      </c>
      <c r="D3" s="15" t="s">
        <v>29</v>
      </c>
      <c r="E3" s="14" t="s">
        <v>71</v>
      </c>
      <c r="F3" s="14" t="s">
        <v>72</v>
      </c>
      <c r="G3" s="14" t="s">
        <v>72</v>
      </c>
      <c r="H3" s="14" t="s">
        <v>73</v>
      </c>
      <c r="I3" s="14" t="s">
        <v>73</v>
      </c>
      <c r="J3" s="16" t="s">
        <v>67</v>
      </c>
      <c r="K3" s="16" t="s">
        <v>67</v>
      </c>
      <c r="L3" s="13"/>
      <c r="M3" s="14" t="s">
        <v>74</v>
      </c>
    </row>
    <row r="4" customFormat="false" ht="78.75" hidden="false" customHeight="true" outlineLevel="0" collapsed="false">
      <c r="A4" s="17" t="n">
        <v>3</v>
      </c>
      <c r="B4" s="18" t="s">
        <v>75</v>
      </c>
      <c r="C4" s="19" t="s">
        <v>63</v>
      </c>
      <c r="D4" s="20" t="s">
        <v>25</v>
      </c>
      <c r="E4" s="19" t="s">
        <v>76</v>
      </c>
      <c r="F4" s="19" t="s">
        <v>77</v>
      </c>
      <c r="G4" s="19" t="s">
        <v>78</v>
      </c>
      <c r="H4" s="18"/>
      <c r="I4" s="19" t="s">
        <v>79</v>
      </c>
      <c r="J4" s="21" t="s">
        <v>67</v>
      </c>
      <c r="K4" s="21" t="s">
        <v>67</v>
      </c>
      <c r="L4" s="18"/>
      <c r="M4" s="19" t="s">
        <v>80</v>
      </c>
    </row>
    <row r="5" customFormat="false" ht="137.25" hidden="false" customHeight="true" outlineLevel="0" collapsed="false">
      <c r="A5" s="22" t="n">
        <v>4</v>
      </c>
      <c r="B5" s="23" t="s">
        <v>81</v>
      </c>
      <c r="C5" s="24" t="s">
        <v>82</v>
      </c>
      <c r="D5" s="25" t="s">
        <v>27</v>
      </c>
      <c r="E5" s="23" t="s">
        <v>83</v>
      </c>
      <c r="F5" s="24" t="s">
        <v>84</v>
      </c>
      <c r="G5" s="24" t="s">
        <v>85</v>
      </c>
      <c r="H5" s="23"/>
      <c r="I5" s="24" t="s">
        <v>86</v>
      </c>
      <c r="J5" s="26" t="s">
        <v>67</v>
      </c>
      <c r="K5" s="26" t="s">
        <v>67</v>
      </c>
      <c r="L5" s="23"/>
      <c r="M5" s="24" t="s">
        <v>87</v>
      </c>
    </row>
    <row r="6" customFormat="false" ht="64.5" hidden="false" customHeight="true" outlineLevel="0" collapsed="false">
      <c r="A6" s="27" t="n">
        <v>5</v>
      </c>
      <c r="B6" s="28" t="s">
        <v>88</v>
      </c>
      <c r="C6" s="29" t="s">
        <v>82</v>
      </c>
      <c r="D6" s="30" t="s">
        <v>39</v>
      </c>
      <c r="E6" s="29" t="s">
        <v>89</v>
      </c>
      <c r="F6" s="29" t="s">
        <v>90</v>
      </c>
      <c r="G6" s="31" t="s">
        <v>91</v>
      </c>
      <c r="H6" s="28"/>
      <c r="I6" s="28"/>
      <c r="J6" s="32" t="s">
        <v>67</v>
      </c>
      <c r="K6" s="27" t="s">
        <v>92</v>
      </c>
      <c r="L6" s="28"/>
      <c r="M6" s="28"/>
    </row>
    <row r="7" customFormat="false" ht="78.75" hidden="false" customHeight="true" outlineLevel="0" collapsed="false">
      <c r="A7" s="22" t="n">
        <v>6</v>
      </c>
      <c r="B7" s="23" t="s">
        <v>93</v>
      </c>
      <c r="C7" s="24" t="s">
        <v>82</v>
      </c>
      <c r="D7" s="25" t="s">
        <v>27</v>
      </c>
      <c r="E7" s="24" t="s">
        <v>94</v>
      </c>
      <c r="F7" s="33" t="s">
        <v>95</v>
      </c>
      <c r="G7" s="33" t="s">
        <v>96</v>
      </c>
      <c r="H7" s="23"/>
      <c r="I7" s="23"/>
      <c r="J7" s="26" t="s">
        <v>67</v>
      </c>
      <c r="K7" s="26" t="s">
        <v>67</v>
      </c>
      <c r="L7" s="23"/>
      <c r="M7" s="24" t="s">
        <v>97</v>
      </c>
    </row>
    <row r="8" customFormat="false" ht="89.25" hidden="false" customHeight="true" outlineLevel="0" collapsed="false">
      <c r="A8" s="22" t="n">
        <v>7</v>
      </c>
      <c r="B8" s="23" t="s">
        <v>98</v>
      </c>
      <c r="C8" s="24" t="s">
        <v>82</v>
      </c>
      <c r="D8" s="25" t="s">
        <v>27</v>
      </c>
      <c r="E8" s="24" t="s">
        <v>99</v>
      </c>
      <c r="F8" s="24" t="s">
        <v>100</v>
      </c>
      <c r="G8" s="33" t="s">
        <v>101</v>
      </c>
      <c r="H8" s="23"/>
      <c r="I8" s="23"/>
      <c r="J8" s="26" t="s">
        <v>67</v>
      </c>
      <c r="K8" s="26" t="s">
        <v>67</v>
      </c>
      <c r="L8" s="23"/>
      <c r="M8" s="24" t="s">
        <v>102</v>
      </c>
    </row>
    <row r="9" customFormat="false" ht="84" hidden="false" customHeight="true" outlineLevel="0" collapsed="false">
      <c r="A9" s="12" t="n">
        <v>8</v>
      </c>
      <c r="B9" s="13" t="s">
        <v>103</v>
      </c>
      <c r="C9" s="14" t="s">
        <v>82</v>
      </c>
      <c r="D9" s="15" t="s">
        <v>29</v>
      </c>
      <c r="E9" s="14" t="s">
        <v>104</v>
      </c>
      <c r="F9" s="14" t="s">
        <v>105</v>
      </c>
      <c r="G9" s="14" t="s">
        <v>105</v>
      </c>
      <c r="H9" s="13"/>
      <c r="I9" s="13"/>
      <c r="J9" s="16" t="s">
        <v>67</v>
      </c>
      <c r="K9" s="16" t="s">
        <v>67</v>
      </c>
      <c r="L9" s="13"/>
      <c r="M9" s="14" t="s">
        <v>106</v>
      </c>
    </row>
    <row r="10" customFormat="false" ht="54" hidden="false" customHeight="true" outlineLevel="0" collapsed="false">
      <c r="A10" s="22" t="n">
        <v>9</v>
      </c>
      <c r="B10" s="23" t="s">
        <v>107</v>
      </c>
      <c r="C10" s="24" t="s">
        <v>82</v>
      </c>
      <c r="D10" s="25" t="s">
        <v>27</v>
      </c>
      <c r="E10" s="24" t="s">
        <v>108</v>
      </c>
      <c r="F10" s="24" t="s">
        <v>109</v>
      </c>
      <c r="G10" s="33" t="s">
        <v>110</v>
      </c>
      <c r="H10" s="23"/>
      <c r="I10" s="23"/>
      <c r="J10" s="26" t="s">
        <v>67</v>
      </c>
      <c r="K10" s="26" t="s">
        <v>67</v>
      </c>
      <c r="L10" s="23"/>
      <c r="M10" s="24" t="s">
        <v>111</v>
      </c>
    </row>
    <row r="11" customFormat="false" ht="113.25" hidden="false" customHeight="true" outlineLevel="0" collapsed="false">
      <c r="A11" s="12" t="n">
        <v>10</v>
      </c>
      <c r="B11" s="13" t="s">
        <v>112</v>
      </c>
      <c r="C11" s="14" t="s">
        <v>113</v>
      </c>
      <c r="D11" s="15" t="s">
        <v>29</v>
      </c>
      <c r="E11" s="14" t="s">
        <v>114</v>
      </c>
      <c r="F11" s="14" t="s">
        <v>115</v>
      </c>
      <c r="G11" s="14" t="s">
        <v>115</v>
      </c>
      <c r="H11" s="14" t="s">
        <v>116</v>
      </c>
      <c r="I11" s="14" t="s">
        <v>116</v>
      </c>
      <c r="J11" s="16" t="s">
        <v>67</v>
      </c>
      <c r="K11" s="16" t="s">
        <v>67</v>
      </c>
      <c r="L11" s="13"/>
      <c r="M11" s="14" t="s">
        <v>74</v>
      </c>
    </row>
    <row r="12" customFormat="false" ht="53.25" hidden="false" customHeight="true" outlineLevel="0" collapsed="false">
      <c r="A12" s="27" t="n">
        <v>11</v>
      </c>
      <c r="B12" s="28" t="s">
        <v>117</v>
      </c>
      <c r="C12" s="29" t="s">
        <v>113</v>
      </c>
      <c r="D12" s="30" t="s">
        <v>39</v>
      </c>
      <c r="E12" s="29" t="s">
        <v>118</v>
      </c>
      <c r="F12" s="29" t="s">
        <v>119</v>
      </c>
      <c r="G12" s="31" t="s">
        <v>91</v>
      </c>
      <c r="H12" s="28"/>
      <c r="I12" s="28"/>
      <c r="J12" s="32" t="s">
        <v>67</v>
      </c>
      <c r="K12" s="27" t="s">
        <v>92</v>
      </c>
      <c r="L12" s="28"/>
      <c r="M12" s="28"/>
    </row>
    <row r="13" customFormat="false" ht="172.5" hidden="false" customHeight="true" outlineLevel="0" collapsed="false">
      <c r="A13" s="22" t="n">
        <v>12</v>
      </c>
      <c r="B13" s="23" t="s">
        <v>120</v>
      </c>
      <c r="C13" s="24" t="s">
        <v>113</v>
      </c>
      <c r="D13" s="25" t="s">
        <v>27</v>
      </c>
      <c r="E13" s="24" t="s">
        <v>121</v>
      </c>
      <c r="F13" s="24" t="s">
        <v>122</v>
      </c>
      <c r="G13" s="24" t="s">
        <v>123</v>
      </c>
      <c r="H13" s="24" t="s">
        <v>124</v>
      </c>
      <c r="I13" s="24" t="s">
        <v>125</v>
      </c>
      <c r="J13" s="26" t="s">
        <v>67</v>
      </c>
      <c r="K13" s="26" t="s">
        <v>67</v>
      </c>
      <c r="L13" s="23"/>
      <c r="M13" s="24" t="s">
        <v>126</v>
      </c>
    </row>
    <row r="14" customFormat="false" ht="74.25" hidden="false" customHeight="true" outlineLevel="0" collapsed="false">
      <c r="A14" s="12" t="n">
        <v>13</v>
      </c>
      <c r="B14" s="13" t="s">
        <v>127</v>
      </c>
      <c r="C14" s="14" t="s">
        <v>113</v>
      </c>
      <c r="D14" s="15" t="s">
        <v>29</v>
      </c>
      <c r="E14" s="14" t="s">
        <v>128</v>
      </c>
      <c r="F14" s="14" t="s">
        <v>129</v>
      </c>
      <c r="G14" s="14" t="s">
        <v>129</v>
      </c>
      <c r="H14" s="13"/>
      <c r="I14" s="13"/>
      <c r="J14" s="16" t="s">
        <v>67</v>
      </c>
      <c r="K14" s="16" t="s">
        <v>67</v>
      </c>
      <c r="L14" s="13"/>
      <c r="M14" s="14" t="s">
        <v>130</v>
      </c>
    </row>
    <row r="15" customFormat="false" ht="81.75" hidden="false" customHeight="true" outlineLevel="0" collapsed="false">
      <c r="A15" s="12" t="n">
        <v>14</v>
      </c>
      <c r="B15" s="13" t="s">
        <v>131</v>
      </c>
      <c r="C15" s="14" t="s">
        <v>113</v>
      </c>
      <c r="D15" s="15" t="s">
        <v>29</v>
      </c>
      <c r="E15" s="14" t="s">
        <v>132</v>
      </c>
      <c r="F15" s="14" t="s">
        <v>133</v>
      </c>
      <c r="G15" s="14" t="s">
        <v>133</v>
      </c>
      <c r="H15" s="13"/>
      <c r="I15" s="13"/>
      <c r="J15" s="16" t="s">
        <v>67</v>
      </c>
      <c r="K15" s="16" t="s">
        <v>67</v>
      </c>
      <c r="L15" s="14" t="s">
        <v>134</v>
      </c>
      <c r="M15" s="14" t="s">
        <v>135</v>
      </c>
    </row>
    <row r="16" customFormat="false" ht="63.75" hidden="false" customHeight="true" outlineLevel="0" collapsed="false">
      <c r="A16" s="34" t="n">
        <v>15</v>
      </c>
      <c r="B16" s="35" t="s">
        <v>136</v>
      </c>
      <c r="C16" s="36" t="s">
        <v>137</v>
      </c>
      <c r="D16" s="37" t="s">
        <v>31</v>
      </c>
      <c r="E16" s="36" t="s">
        <v>138</v>
      </c>
      <c r="F16" s="36" t="s">
        <v>139</v>
      </c>
      <c r="G16" s="36" t="s">
        <v>139</v>
      </c>
      <c r="H16" s="35"/>
      <c r="I16" s="35"/>
      <c r="J16" s="38" t="s">
        <v>67</v>
      </c>
      <c r="K16" s="38" t="s">
        <v>67</v>
      </c>
      <c r="L16" s="35"/>
      <c r="M16" s="35"/>
    </row>
    <row r="17" customFormat="false" ht="50.25" hidden="false" customHeight="true" outlineLevel="0" collapsed="false">
      <c r="A17" s="12" t="n">
        <v>16</v>
      </c>
      <c r="B17" s="13" t="s">
        <v>140</v>
      </c>
      <c r="C17" s="14" t="s">
        <v>137</v>
      </c>
      <c r="D17" s="15" t="s">
        <v>29</v>
      </c>
      <c r="E17" s="14" t="s">
        <v>141</v>
      </c>
      <c r="F17" s="14" t="s">
        <v>142</v>
      </c>
      <c r="G17" s="14" t="s">
        <v>142</v>
      </c>
      <c r="H17" s="13"/>
      <c r="I17" s="13"/>
      <c r="J17" s="16" t="s">
        <v>67</v>
      </c>
      <c r="K17" s="16" t="s">
        <v>67</v>
      </c>
      <c r="L17" s="13"/>
      <c r="M17" s="14" t="s">
        <v>143</v>
      </c>
    </row>
    <row r="18" customFormat="false" ht="162" hidden="false" customHeight="true" outlineLevel="0" collapsed="false">
      <c r="A18" s="22" t="n">
        <v>17</v>
      </c>
      <c r="B18" s="23" t="s">
        <v>144</v>
      </c>
      <c r="C18" s="24" t="s">
        <v>145</v>
      </c>
      <c r="D18" s="25" t="s">
        <v>27</v>
      </c>
      <c r="E18" s="24" t="s">
        <v>146</v>
      </c>
      <c r="F18" s="24" t="s">
        <v>147</v>
      </c>
      <c r="G18" s="24" t="s">
        <v>148</v>
      </c>
      <c r="H18" s="24" t="s">
        <v>149</v>
      </c>
      <c r="I18" s="24" t="s">
        <v>150</v>
      </c>
      <c r="J18" s="26" t="s">
        <v>67</v>
      </c>
      <c r="K18" s="26" t="s">
        <v>67</v>
      </c>
      <c r="L18" s="23"/>
      <c r="M18" s="24" t="s">
        <v>151</v>
      </c>
    </row>
    <row r="19" customFormat="false" ht="153.75" hidden="false" customHeight="true" outlineLevel="0" collapsed="false">
      <c r="A19" s="12" t="n">
        <v>18</v>
      </c>
      <c r="B19" s="13" t="s">
        <v>152</v>
      </c>
      <c r="C19" s="14" t="s">
        <v>145</v>
      </c>
      <c r="D19" s="15" t="s">
        <v>29</v>
      </c>
      <c r="E19" s="14" t="s">
        <v>153</v>
      </c>
      <c r="F19" s="14" t="s">
        <v>154</v>
      </c>
      <c r="G19" s="14" t="s">
        <v>154</v>
      </c>
      <c r="H19" s="14" t="s">
        <v>155</v>
      </c>
      <c r="I19" s="14" t="s">
        <v>155</v>
      </c>
      <c r="J19" s="16" t="s">
        <v>67</v>
      </c>
      <c r="K19" s="16" t="s">
        <v>67</v>
      </c>
      <c r="L19" s="13"/>
      <c r="M19" s="14" t="s">
        <v>156</v>
      </c>
    </row>
    <row r="20" customFormat="false" ht="75" hidden="false" customHeight="true" outlineLevel="0" collapsed="false">
      <c r="A20" s="34" t="n">
        <v>19</v>
      </c>
      <c r="B20" s="35" t="s">
        <v>157</v>
      </c>
      <c r="C20" s="36" t="s">
        <v>158</v>
      </c>
      <c r="D20" s="37" t="s">
        <v>31</v>
      </c>
      <c r="E20" s="36" t="s">
        <v>159</v>
      </c>
      <c r="F20" s="36" t="s">
        <v>160</v>
      </c>
      <c r="G20" s="36" t="s">
        <v>160</v>
      </c>
      <c r="H20" s="35"/>
      <c r="I20" s="35"/>
      <c r="J20" s="38" t="s">
        <v>67</v>
      </c>
      <c r="K20" s="38" t="s">
        <v>67</v>
      </c>
      <c r="L20" s="35"/>
      <c r="M20" s="35"/>
    </row>
    <row r="21" customFormat="false" ht="93.75" hidden="false" customHeight="true" outlineLevel="0" collapsed="false">
      <c r="A21" s="12" t="n">
        <v>20</v>
      </c>
      <c r="B21" s="13" t="s">
        <v>161</v>
      </c>
      <c r="C21" s="14" t="s">
        <v>158</v>
      </c>
      <c r="D21" s="15" t="s">
        <v>29</v>
      </c>
      <c r="E21" s="14" t="s">
        <v>162</v>
      </c>
      <c r="F21" s="14" t="s">
        <v>163</v>
      </c>
      <c r="G21" s="14" t="s">
        <v>163</v>
      </c>
      <c r="H21" s="14" t="s">
        <v>164</v>
      </c>
      <c r="I21" s="14" t="s">
        <v>164</v>
      </c>
      <c r="J21" s="16" t="s">
        <v>67</v>
      </c>
      <c r="K21" s="16" t="s">
        <v>67</v>
      </c>
      <c r="L21" s="13"/>
      <c r="M21" s="14" t="s">
        <v>165</v>
      </c>
    </row>
    <row r="22" customFormat="false" ht="94.5" hidden="false" customHeight="true" outlineLevel="0" collapsed="false">
      <c r="A22" s="12" t="n">
        <v>21</v>
      </c>
      <c r="B22" s="13" t="s">
        <v>166</v>
      </c>
      <c r="C22" s="14" t="s">
        <v>158</v>
      </c>
      <c r="D22" s="15" t="s">
        <v>29</v>
      </c>
      <c r="E22" s="14" t="s">
        <v>167</v>
      </c>
      <c r="F22" s="14" t="s">
        <v>168</v>
      </c>
      <c r="G22" s="14" t="s">
        <v>168</v>
      </c>
      <c r="H22" s="13"/>
      <c r="I22" s="13"/>
      <c r="J22" s="16" t="s">
        <v>67</v>
      </c>
      <c r="K22" s="16" t="s">
        <v>67</v>
      </c>
      <c r="L22" s="13"/>
      <c r="M22" s="14" t="s">
        <v>169</v>
      </c>
    </row>
    <row r="23" customFormat="false" ht="102.75" hidden="false" customHeight="true" outlineLevel="0" collapsed="false">
      <c r="A23" s="12" t="n">
        <v>22</v>
      </c>
      <c r="B23" s="13" t="s">
        <v>170</v>
      </c>
      <c r="C23" s="14" t="s">
        <v>158</v>
      </c>
      <c r="D23" s="15" t="s">
        <v>29</v>
      </c>
      <c r="E23" s="14" t="s">
        <v>171</v>
      </c>
      <c r="F23" s="14" t="s">
        <v>172</v>
      </c>
      <c r="G23" s="14" t="s">
        <v>172</v>
      </c>
      <c r="H23" s="14" t="s">
        <v>173</v>
      </c>
      <c r="I23" s="14" t="s">
        <v>173</v>
      </c>
      <c r="J23" s="16" t="s">
        <v>67</v>
      </c>
      <c r="K23" s="16" t="s">
        <v>67</v>
      </c>
      <c r="L23" s="13"/>
      <c r="M23" s="14" t="s">
        <v>174</v>
      </c>
    </row>
    <row r="24" customFormat="false" ht="69.75" hidden="false" customHeight="true" outlineLevel="0" collapsed="false">
      <c r="A24" s="27" t="n">
        <v>23</v>
      </c>
      <c r="B24" s="28" t="s">
        <v>175</v>
      </c>
      <c r="C24" s="29" t="s">
        <v>158</v>
      </c>
      <c r="D24" s="30" t="s">
        <v>39</v>
      </c>
      <c r="E24" s="29" t="s">
        <v>176</v>
      </c>
      <c r="F24" s="29" t="s">
        <v>177</v>
      </c>
      <c r="G24" s="31" t="s">
        <v>91</v>
      </c>
      <c r="H24" s="28"/>
      <c r="I24" s="28"/>
      <c r="J24" s="32" t="s">
        <v>67</v>
      </c>
      <c r="K24" s="27" t="s">
        <v>92</v>
      </c>
      <c r="L24" s="28"/>
      <c r="M24" s="29" t="s">
        <v>178</v>
      </c>
    </row>
    <row r="25" customFormat="false" ht="48" hidden="false" customHeight="true" outlineLevel="0" collapsed="false">
      <c r="A25" s="12" t="n">
        <v>24</v>
      </c>
      <c r="B25" s="13" t="s">
        <v>179</v>
      </c>
      <c r="C25" s="14" t="s">
        <v>158</v>
      </c>
      <c r="D25" s="15" t="s">
        <v>29</v>
      </c>
      <c r="E25" s="14" t="s">
        <v>180</v>
      </c>
      <c r="F25" s="14" t="s">
        <v>181</v>
      </c>
      <c r="G25" s="14" t="s">
        <v>181</v>
      </c>
      <c r="H25" s="14" t="s">
        <v>181</v>
      </c>
      <c r="I25" s="14" t="s">
        <v>181</v>
      </c>
      <c r="J25" s="16" t="s">
        <v>67</v>
      </c>
      <c r="K25" s="16" t="s">
        <v>67</v>
      </c>
      <c r="L25" s="13"/>
      <c r="M25" s="14" t="s">
        <v>182</v>
      </c>
    </row>
    <row r="26" customFormat="false" ht="60" hidden="false" customHeight="true" outlineLevel="0" collapsed="false">
      <c r="A26" s="34" t="n">
        <v>25</v>
      </c>
      <c r="B26" s="35" t="s">
        <v>183</v>
      </c>
      <c r="C26" s="36" t="s">
        <v>184</v>
      </c>
      <c r="D26" s="37" t="s">
        <v>31</v>
      </c>
      <c r="E26" s="36" t="s">
        <v>185</v>
      </c>
      <c r="F26" s="36" t="s">
        <v>186</v>
      </c>
      <c r="G26" s="36" t="s">
        <v>186</v>
      </c>
      <c r="H26" s="35"/>
      <c r="I26" s="35"/>
      <c r="J26" s="38" t="s">
        <v>67</v>
      </c>
      <c r="K26" s="38" t="s">
        <v>67</v>
      </c>
      <c r="L26" s="35"/>
      <c r="M26" s="35"/>
    </row>
    <row r="27" customFormat="false" ht="141.75" hidden="false" customHeight="true" outlineLevel="0" collapsed="false">
      <c r="A27" s="12" t="n">
        <v>26</v>
      </c>
      <c r="B27" s="13" t="s">
        <v>187</v>
      </c>
      <c r="C27" s="14" t="s">
        <v>184</v>
      </c>
      <c r="D27" s="15" t="s">
        <v>29</v>
      </c>
      <c r="E27" s="14" t="s">
        <v>188</v>
      </c>
      <c r="F27" s="14" t="s">
        <v>189</v>
      </c>
      <c r="G27" s="14" t="s">
        <v>189</v>
      </c>
      <c r="H27" s="13" t="s">
        <v>190</v>
      </c>
      <c r="I27" s="13" t="s">
        <v>190</v>
      </c>
      <c r="J27" s="12" t="s">
        <v>191</v>
      </c>
      <c r="K27" s="12" t="s">
        <v>191</v>
      </c>
      <c r="L27" s="13"/>
      <c r="M27" s="14" t="s">
        <v>192</v>
      </c>
    </row>
    <row r="28" customFormat="false" ht="165" hidden="false" customHeight="true" outlineLevel="0" collapsed="false">
      <c r="A28" s="12" t="n">
        <v>27</v>
      </c>
      <c r="B28" s="13" t="s">
        <v>193</v>
      </c>
      <c r="C28" s="14" t="s">
        <v>184</v>
      </c>
      <c r="D28" s="15" t="s">
        <v>29</v>
      </c>
      <c r="E28" s="14" t="s">
        <v>194</v>
      </c>
      <c r="F28" s="14" t="s">
        <v>195</v>
      </c>
      <c r="G28" s="14" t="s">
        <v>195</v>
      </c>
      <c r="H28" s="14" t="s">
        <v>196</v>
      </c>
      <c r="I28" s="14" t="s">
        <v>196</v>
      </c>
      <c r="J28" s="12" t="s">
        <v>191</v>
      </c>
      <c r="K28" s="12" t="s">
        <v>191</v>
      </c>
      <c r="L28" s="13"/>
      <c r="M28" s="14" t="s">
        <v>197</v>
      </c>
    </row>
    <row r="29" customFormat="false" ht="51.75" hidden="false" customHeight="true" outlineLevel="0" collapsed="false">
      <c r="A29" s="12" t="n">
        <v>28</v>
      </c>
      <c r="B29" s="13" t="s">
        <v>198</v>
      </c>
      <c r="C29" s="14" t="s">
        <v>184</v>
      </c>
      <c r="D29" s="15" t="s">
        <v>29</v>
      </c>
      <c r="E29" s="14" t="s">
        <v>199</v>
      </c>
      <c r="F29" s="14" t="s">
        <v>200</v>
      </c>
      <c r="G29" s="14" t="s">
        <v>200</v>
      </c>
      <c r="H29" s="13"/>
      <c r="I29" s="13"/>
      <c r="J29" s="12" t="s">
        <v>191</v>
      </c>
      <c r="K29" s="12" t="s">
        <v>191</v>
      </c>
      <c r="L29" s="13"/>
      <c r="M29" s="14" t="s">
        <v>201</v>
      </c>
    </row>
    <row r="30" customFormat="false" ht="157.5" hidden="false" customHeight="true" outlineLevel="0" collapsed="false">
      <c r="A30" s="12" t="n">
        <v>29</v>
      </c>
      <c r="B30" s="13" t="s">
        <v>202</v>
      </c>
      <c r="C30" s="14" t="s">
        <v>184</v>
      </c>
      <c r="D30" s="15" t="s">
        <v>29</v>
      </c>
      <c r="E30" s="14" t="s">
        <v>203</v>
      </c>
      <c r="F30" s="14" t="s">
        <v>204</v>
      </c>
      <c r="G30" s="14" t="s">
        <v>204</v>
      </c>
      <c r="H30" s="14" t="s">
        <v>205</v>
      </c>
      <c r="I30" s="14" t="s">
        <v>205</v>
      </c>
      <c r="J30" s="12" t="s">
        <v>191</v>
      </c>
      <c r="K30" s="12" t="s">
        <v>191</v>
      </c>
      <c r="L30" s="13"/>
      <c r="M30" s="14" t="s">
        <v>206</v>
      </c>
    </row>
    <row r="31" customFormat="false" ht="124.5" hidden="false" customHeight="true" outlineLevel="0" collapsed="false">
      <c r="A31" s="12" t="n">
        <v>30</v>
      </c>
      <c r="B31" s="13" t="s">
        <v>207</v>
      </c>
      <c r="C31" s="14" t="s">
        <v>184</v>
      </c>
      <c r="D31" s="15" t="s">
        <v>29</v>
      </c>
      <c r="E31" s="14" t="s">
        <v>208</v>
      </c>
      <c r="F31" s="14" t="s">
        <v>209</v>
      </c>
      <c r="G31" s="14" t="s">
        <v>209</v>
      </c>
      <c r="H31" s="14" t="s">
        <v>210</v>
      </c>
      <c r="I31" s="14" t="s">
        <v>210</v>
      </c>
      <c r="J31" s="12" t="s">
        <v>191</v>
      </c>
      <c r="K31" s="12" t="s">
        <v>191</v>
      </c>
      <c r="L31" s="13"/>
      <c r="M31" s="14" t="s">
        <v>211</v>
      </c>
    </row>
    <row r="32" customFormat="false" ht="164.25" hidden="false" customHeight="true" outlineLevel="0" collapsed="false">
      <c r="A32" s="34" t="n">
        <v>31</v>
      </c>
      <c r="B32" s="35" t="s">
        <v>212</v>
      </c>
      <c r="C32" s="36" t="s">
        <v>184</v>
      </c>
      <c r="D32" s="37" t="s">
        <v>31</v>
      </c>
      <c r="E32" s="36" t="s">
        <v>213</v>
      </c>
      <c r="F32" s="36" t="s">
        <v>214</v>
      </c>
      <c r="G32" s="36" t="s">
        <v>214</v>
      </c>
      <c r="H32" s="36" t="s">
        <v>215</v>
      </c>
      <c r="I32" s="36" t="s">
        <v>215</v>
      </c>
      <c r="J32" s="34" t="s">
        <v>191</v>
      </c>
      <c r="K32" s="34" t="s">
        <v>191</v>
      </c>
      <c r="L32" s="35"/>
      <c r="M32" s="36" t="s">
        <v>216</v>
      </c>
    </row>
    <row r="33" customFormat="false" ht="81.75" hidden="false" customHeight="true" outlineLevel="0" collapsed="false">
      <c r="A33" s="22" t="n">
        <v>32</v>
      </c>
      <c r="B33" s="23" t="s">
        <v>217</v>
      </c>
      <c r="C33" s="24" t="s">
        <v>184</v>
      </c>
      <c r="D33" s="25" t="s">
        <v>27</v>
      </c>
      <c r="E33" s="24" t="s">
        <v>218</v>
      </c>
      <c r="F33" s="33" t="s">
        <v>219</v>
      </c>
      <c r="G33" s="24" t="s">
        <v>220</v>
      </c>
      <c r="H33" s="23"/>
      <c r="I33" s="23"/>
      <c r="J33" s="22" t="s">
        <v>191</v>
      </c>
      <c r="K33" s="26" t="s">
        <v>67</v>
      </c>
      <c r="L33" s="23"/>
      <c r="M33" s="24" t="s">
        <v>221</v>
      </c>
    </row>
    <row r="34" customFormat="false" ht="78" hidden="false" customHeight="true" outlineLevel="0" collapsed="false">
      <c r="A34" s="22" t="n">
        <v>33</v>
      </c>
      <c r="B34" s="23" t="s">
        <v>222</v>
      </c>
      <c r="C34" s="24" t="s">
        <v>184</v>
      </c>
      <c r="D34" s="25" t="s">
        <v>27</v>
      </c>
      <c r="E34" s="24" t="s">
        <v>223</v>
      </c>
      <c r="F34" s="24" t="s">
        <v>224</v>
      </c>
      <c r="G34" s="24" t="s">
        <v>225</v>
      </c>
      <c r="H34" s="24" t="s">
        <v>226</v>
      </c>
      <c r="I34" s="24" t="s">
        <v>226</v>
      </c>
      <c r="J34" s="26" t="s">
        <v>67</v>
      </c>
      <c r="K34" s="26" t="s">
        <v>67</v>
      </c>
      <c r="L34" s="24" t="s">
        <v>227</v>
      </c>
      <c r="M34" s="24" t="s">
        <v>228</v>
      </c>
    </row>
    <row r="35" customFormat="false" ht="144" hidden="false" customHeight="true" outlineLevel="0" collapsed="false">
      <c r="A35" s="22" t="n">
        <v>34</v>
      </c>
      <c r="B35" s="23" t="s">
        <v>229</v>
      </c>
      <c r="C35" s="24" t="s">
        <v>184</v>
      </c>
      <c r="D35" s="25" t="s">
        <v>27</v>
      </c>
      <c r="E35" s="24" t="s">
        <v>230</v>
      </c>
      <c r="F35" s="33" t="s">
        <v>231</v>
      </c>
      <c r="G35" s="24" t="s">
        <v>232</v>
      </c>
      <c r="H35" s="33" t="s">
        <v>233</v>
      </c>
      <c r="I35" s="33" t="s">
        <v>234</v>
      </c>
      <c r="J35" s="26" t="s">
        <v>67</v>
      </c>
      <c r="K35" s="26" t="s">
        <v>67</v>
      </c>
      <c r="L35" s="23"/>
      <c r="M35" s="24" t="s">
        <v>235</v>
      </c>
    </row>
    <row r="36" customFormat="false" ht="139.5" hidden="false" customHeight="true" outlineLevel="0" collapsed="false">
      <c r="A36" s="22" t="n">
        <v>35</v>
      </c>
      <c r="B36" s="23" t="s">
        <v>236</v>
      </c>
      <c r="C36" s="24" t="s">
        <v>184</v>
      </c>
      <c r="D36" s="25" t="s">
        <v>27</v>
      </c>
      <c r="E36" s="24" t="s">
        <v>237</v>
      </c>
      <c r="F36" s="24" t="s">
        <v>238</v>
      </c>
      <c r="G36" s="24" t="s">
        <v>239</v>
      </c>
      <c r="H36" s="24" t="s">
        <v>240</v>
      </c>
      <c r="I36" s="24" t="s">
        <v>241</v>
      </c>
      <c r="J36" s="26" t="s">
        <v>67</v>
      </c>
      <c r="K36" s="26" t="s">
        <v>67</v>
      </c>
      <c r="L36" s="23"/>
      <c r="M36" s="24" t="s">
        <v>242</v>
      </c>
    </row>
    <row r="37" customFormat="false" ht="56.25" hidden="false" customHeight="true" outlineLevel="0" collapsed="false">
      <c r="A37" s="39" t="n">
        <v>36</v>
      </c>
      <c r="B37" s="40" t="s">
        <v>243</v>
      </c>
      <c r="C37" s="41" t="s">
        <v>63</v>
      </c>
      <c r="D37" s="42" t="s">
        <v>35</v>
      </c>
      <c r="E37" s="41" t="s">
        <v>244</v>
      </c>
      <c r="F37" s="41" t="s">
        <v>245</v>
      </c>
      <c r="G37" s="41" t="s">
        <v>245</v>
      </c>
      <c r="H37" s="40"/>
      <c r="I37" s="40"/>
      <c r="J37" s="43" t="s">
        <v>67</v>
      </c>
      <c r="K37" s="43" t="s">
        <v>67</v>
      </c>
      <c r="L37" s="40"/>
      <c r="M37" s="40"/>
    </row>
    <row r="38" customFormat="false" ht="68.25" hidden="false" customHeight="true" outlineLevel="0" collapsed="false">
      <c r="A38" s="39" t="n">
        <v>37</v>
      </c>
      <c r="B38" s="40" t="s">
        <v>246</v>
      </c>
      <c r="C38" s="41" t="s">
        <v>63</v>
      </c>
      <c r="D38" s="42" t="s">
        <v>35</v>
      </c>
      <c r="E38" s="41" t="s">
        <v>247</v>
      </c>
      <c r="F38" s="41" t="s">
        <v>248</v>
      </c>
      <c r="G38" s="41" t="s">
        <v>248</v>
      </c>
      <c r="H38" s="40"/>
      <c r="I38" s="40"/>
      <c r="J38" s="43" t="s">
        <v>67</v>
      </c>
      <c r="K38" s="43" t="s">
        <v>67</v>
      </c>
      <c r="L38" s="40"/>
      <c r="M38" s="40"/>
    </row>
    <row r="39" customFormat="false" ht="111" hidden="false" customHeight="true" outlineLevel="0" collapsed="false">
      <c r="A39" s="44" t="n">
        <v>38</v>
      </c>
      <c r="B39" s="45" t="s">
        <v>249</v>
      </c>
      <c r="C39" s="46" t="s">
        <v>82</v>
      </c>
      <c r="D39" s="47" t="s">
        <v>250</v>
      </c>
      <c r="E39" s="46" t="s">
        <v>251</v>
      </c>
      <c r="F39" s="46" t="s">
        <v>252</v>
      </c>
      <c r="G39" s="46" t="s">
        <v>252</v>
      </c>
      <c r="H39" s="45"/>
      <c r="I39" s="45"/>
      <c r="J39" s="48" t="s">
        <v>67</v>
      </c>
      <c r="K39" s="48" t="s">
        <v>67</v>
      </c>
      <c r="L39" s="45"/>
      <c r="M39" s="45" t="s">
        <v>253</v>
      </c>
    </row>
    <row r="40" customFormat="false" ht="56.25" hidden="false" customHeight="true" outlineLevel="0" collapsed="false">
      <c r="A40" s="39" t="n">
        <v>39</v>
      </c>
      <c r="B40" s="40" t="s">
        <v>254</v>
      </c>
      <c r="C40" s="41" t="s">
        <v>82</v>
      </c>
      <c r="D40" s="42" t="s">
        <v>35</v>
      </c>
      <c r="E40" s="41" t="s">
        <v>255</v>
      </c>
      <c r="F40" s="41" t="s">
        <v>256</v>
      </c>
      <c r="G40" s="41" t="s">
        <v>256</v>
      </c>
      <c r="H40" s="40"/>
      <c r="I40" s="40"/>
      <c r="J40" s="43" t="s">
        <v>67</v>
      </c>
      <c r="K40" s="43" t="s">
        <v>67</v>
      </c>
      <c r="L40" s="41" t="s">
        <v>257</v>
      </c>
      <c r="M40" s="40"/>
    </row>
    <row r="41" customFormat="false" ht="54" hidden="false" customHeight="true" outlineLevel="0" collapsed="false">
      <c r="A41" s="39" t="n">
        <v>40</v>
      </c>
      <c r="B41" s="40" t="s">
        <v>258</v>
      </c>
      <c r="C41" s="41" t="s">
        <v>113</v>
      </c>
      <c r="D41" s="42" t="s">
        <v>35</v>
      </c>
      <c r="E41" s="41" t="s">
        <v>259</v>
      </c>
      <c r="F41" s="41" t="s">
        <v>260</v>
      </c>
      <c r="G41" s="41" t="s">
        <v>260</v>
      </c>
      <c r="H41" s="40"/>
      <c r="I41" s="40"/>
      <c r="J41" s="43" t="s">
        <v>67</v>
      </c>
      <c r="K41" s="43" t="s">
        <v>67</v>
      </c>
      <c r="L41" s="41" t="s">
        <v>261</v>
      </c>
      <c r="M41" s="40"/>
    </row>
    <row r="42" customFormat="false" ht="81" hidden="false" customHeight="true" outlineLevel="0" collapsed="false">
      <c r="A42" s="39" t="n">
        <v>41</v>
      </c>
      <c r="B42" s="40" t="s">
        <v>262</v>
      </c>
      <c r="C42" s="41" t="s">
        <v>137</v>
      </c>
      <c r="D42" s="42" t="s">
        <v>35</v>
      </c>
      <c r="E42" s="41" t="s">
        <v>263</v>
      </c>
      <c r="F42" s="41" t="s">
        <v>264</v>
      </c>
      <c r="G42" s="41" t="s">
        <v>264</v>
      </c>
      <c r="H42" s="40"/>
      <c r="I42" s="40"/>
      <c r="J42" s="43" t="s">
        <v>67</v>
      </c>
      <c r="K42" s="43" t="s">
        <v>67</v>
      </c>
      <c r="L42" s="41" t="s">
        <v>265</v>
      </c>
      <c r="M42" s="40"/>
    </row>
    <row r="43" customFormat="false" ht="72.75" hidden="false" customHeight="true" outlineLevel="0" collapsed="false">
      <c r="A43" s="39" t="n">
        <v>42</v>
      </c>
      <c r="B43" s="40" t="s">
        <v>266</v>
      </c>
      <c r="C43" s="41" t="s">
        <v>267</v>
      </c>
      <c r="D43" s="42" t="s">
        <v>35</v>
      </c>
      <c r="E43" s="41" t="s">
        <v>268</v>
      </c>
      <c r="F43" s="41" t="s">
        <v>269</v>
      </c>
      <c r="G43" s="41" t="s">
        <v>269</v>
      </c>
      <c r="H43" s="40"/>
      <c r="I43" s="40"/>
      <c r="J43" s="43" t="s">
        <v>67</v>
      </c>
      <c r="K43" s="43" t="s">
        <v>67</v>
      </c>
      <c r="L43" s="40"/>
      <c r="M43" s="40"/>
    </row>
    <row r="44" customFormat="false" ht="78.75" hidden="false" customHeight="true" outlineLevel="0" collapsed="false">
      <c r="A44" s="39" t="n">
        <v>43</v>
      </c>
      <c r="B44" s="40" t="s">
        <v>270</v>
      </c>
      <c r="C44" s="41" t="s">
        <v>267</v>
      </c>
      <c r="D44" s="42" t="s">
        <v>35</v>
      </c>
      <c r="E44" s="41" t="s">
        <v>271</v>
      </c>
      <c r="F44" s="41" t="s">
        <v>272</v>
      </c>
      <c r="G44" s="41" t="s">
        <v>272</v>
      </c>
      <c r="H44" s="40"/>
      <c r="I44" s="40"/>
      <c r="J44" s="43" t="s">
        <v>67</v>
      </c>
      <c r="K44" s="43" t="s">
        <v>67</v>
      </c>
      <c r="L44" s="41" t="s">
        <v>273</v>
      </c>
      <c r="M44" s="40"/>
    </row>
    <row r="45" customFormat="false" ht="57" hidden="false" customHeight="true" outlineLevel="0" collapsed="false">
      <c r="A45" s="39" t="n">
        <v>44</v>
      </c>
      <c r="B45" s="40" t="s">
        <v>274</v>
      </c>
      <c r="C45" s="41" t="s">
        <v>267</v>
      </c>
      <c r="D45" s="42" t="s">
        <v>35</v>
      </c>
      <c r="E45" s="41" t="s">
        <v>275</v>
      </c>
      <c r="F45" s="41" t="s">
        <v>276</v>
      </c>
      <c r="G45" s="41" t="s">
        <v>276</v>
      </c>
      <c r="H45" s="40"/>
      <c r="I45" s="40"/>
      <c r="J45" s="43" t="s">
        <v>67</v>
      </c>
      <c r="K45" s="43" t="s">
        <v>67</v>
      </c>
      <c r="L45" s="40"/>
      <c r="M45" s="40"/>
    </row>
    <row r="46" customFormat="false" ht="78" hidden="false" customHeight="true" outlineLevel="0" collapsed="false">
      <c r="A46" s="39" t="n">
        <v>45</v>
      </c>
      <c r="B46" s="40" t="s">
        <v>277</v>
      </c>
      <c r="C46" s="41" t="s">
        <v>158</v>
      </c>
      <c r="D46" s="42" t="s">
        <v>35</v>
      </c>
      <c r="E46" s="41" t="s">
        <v>278</v>
      </c>
      <c r="F46" s="41" t="s">
        <v>279</v>
      </c>
      <c r="G46" s="41" t="s">
        <v>279</v>
      </c>
      <c r="H46" s="40"/>
      <c r="I46" s="40"/>
      <c r="J46" s="43" t="s">
        <v>67</v>
      </c>
      <c r="K46" s="43" t="s">
        <v>67</v>
      </c>
      <c r="L46" s="40"/>
      <c r="M46" s="40" t="s">
        <v>280</v>
      </c>
    </row>
    <row r="47" customFormat="false" ht="70.5" hidden="false" customHeight="true" outlineLevel="0" collapsed="false">
      <c r="A47" s="39" t="n">
        <v>46</v>
      </c>
      <c r="B47" s="40" t="s">
        <v>281</v>
      </c>
      <c r="C47" s="41" t="s">
        <v>158</v>
      </c>
      <c r="D47" s="42" t="s">
        <v>35</v>
      </c>
      <c r="E47" s="41" t="s">
        <v>282</v>
      </c>
      <c r="F47" s="41" t="s">
        <v>283</v>
      </c>
      <c r="G47" s="41" t="s">
        <v>283</v>
      </c>
      <c r="H47" s="40"/>
      <c r="I47" s="40"/>
      <c r="J47" s="43" t="s">
        <v>67</v>
      </c>
      <c r="K47" s="43" t="s">
        <v>67</v>
      </c>
      <c r="L47" s="40"/>
      <c r="M47" s="40" t="s">
        <v>280</v>
      </c>
    </row>
    <row r="48" customFormat="false" ht="107.25" hidden="false" customHeight="true" outlineLevel="0" collapsed="false">
      <c r="A48" s="39" t="n">
        <v>47</v>
      </c>
      <c r="B48" s="40" t="s">
        <v>284</v>
      </c>
      <c r="C48" s="41" t="s">
        <v>158</v>
      </c>
      <c r="D48" s="42" t="s">
        <v>35</v>
      </c>
      <c r="E48" s="41" t="s">
        <v>285</v>
      </c>
      <c r="F48" s="41" t="s">
        <v>286</v>
      </c>
      <c r="G48" s="41" t="s">
        <v>286</v>
      </c>
      <c r="H48" s="41" t="s">
        <v>287</v>
      </c>
      <c r="I48" s="41" t="s">
        <v>287</v>
      </c>
      <c r="J48" s="43" t="s">
        <v>67</v>
      </c>
      <c r="K48" s="43" t="s">
        <v>67</v>
      </c>
      <c r="L48" s="40"/>
      <c r="M48" s="40" t="s">
        <v>288</v>
      </c>
    </row>
    <row r="49" customFormat="false" ht="47.25" hidden="false" customHeight="true" outlineLevel="0" collapsed="false">
      <c r="A49" s="39" t="n">
        <v>48</v>
      </c>
      <c r="B49" s="40" t="s">
        <v>289</v>
      </c>
      <c r="C49" s="41" t="s">
        <v>158</v>
      </c>
      <c r="D49" s="42" t="s">
        <v>35</v>
      </c>
      <c r="E49" s="41" t="s">
        <v>290</v>
      </c>
      <c r="F49" s="41" t="s">
        <v>291</v>
      </c>
      <c r="G49" s="41" t="s">
        <v>291</v>
      </c>
      <c r="H49" s="40"/>
      <c r="I49" s="40"/>
      <c r="J49" s="43" t="s">
        <v>67</v>
      </c>
      <c r="K49" s="43" t="s">
        <v>67</v>
      </c>
      <c r="L49" s="40"/>
      <c r="M49" s="40" t="s">
        <v>292</v>
      </c>
    </row>
    <row r="50" customFormat="false" ht="97.5" hidden="false" customHeight="true" outlineLevel="0" collapsed="false">
      <c r="A50" s="39" t="n">
        <v>49</v>
      </c>
      <c r="B50" s="40" t="s">
        <v>293</v>
      </c>
      <c r="C50" s="41" t="s">
        <v>158</v>
      </c>
      <c r="D50" s="42" t="s">
        <v>35</v>
      </c>
      <c r="E50" s="41" t="s">
        <v>294</v>
      </c>
      <c r="F50" s="41" t="s">
        <v>295</v>
      </c>
      <c r="G50" s="41" t="s">
        <v>295</v>
      </c>
      <c r="H50" s="40"/>
      <c r="I50" s="40"/>
      <c r="J50" s="43" t="s">
        <v>67</v>
      </c>
      <c r="K50" s="43" t="s">
        <v>67</v>
      </c>
      <c r="L50" s="40"/>
      <c r="M50" s="40"/>
    </row>
  </sheetData>
  <autoFilter ref="A1:M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12"/>
    <col collapsed="false" customWidth="true" hidden="false" outlineLevel="0" max="4" min="4" style="0" width="46"/>
    <col collapsed="false" customWidth="true" hidden="false" outlineLevel="0" max="6" min="5" style="0" width="44"/>
    <col collapsed="false" customWidth="true" hidden="false" outlineLevel="0" max="7" min="7" style="0" width="30"/>
    <col collapsed="false" customWidth="true" hidden="false" outlineLevel="0" max="8" min="8" style="0" width="24"/>
  </cols>
  <sheetData>
    <row r="1" customFormat="false" ht="33.75" hidden="false" customHeight="true" outlineLevel="0" collapsed="false">
      <c r="A1" s="11" t="s">
        <v>296</v>
      </c>
      <c r="B1" s="11" t="s">
        <v>50</v>
      </c>
      <c r="C1" s="11" t="s">
        <v>51</v>
      </c>
      <c r="D1" s="11" t="s">
        <v>297</v>
      </c>
      <c r="E1" s="11" t="s">
        <v>3</v>
      </c>
      <c r="F1" s="11" t="s">
        <v>5</v>
      </c>
      <c r="G1" s="11" t="s">
        <v>298</v>
      </c>
      <c r="H1" s="11" t="s">
        <v>299</v>
      </c>
    </row>
    <row r="2" customFormat="false" ht="77.25" hidden="false" customHeight="true" outlineLevel="0" collapsed="false">
      <c r="A2" s="20" t="s">
        <v>25</v>
      </c>
      <c r="B2" s="18" t="s">
        <v>75</v>
      </c>
      <c r="C2" s="19" t="s">
        <v>63</v>
      </c>
      <c r="D2" s="19" t="s">
        <v>300</v>
      </c>
      <c r="E2" s="19" t="s">
        <v>77</v>
      </c>
      <c r="F2" s="19" t="s">
        <v>78</v>
      </c>
      <c r="G2" s="19" t="s">
        <v>301</v>
      </c>
      <c r="H2" s="49" t="s">
        <v>302</v>
      </c>
    </row>
    <row r="3" customFormat="false" ht="62.25" hidden="false" customHeight="true" outlineLevel="0" collapsed="false">
      <c r="A3" s="37" t="s">
        <v>303</v>
      </c>
      <c r="B3" s="35" t="s">
        <v>136</v>
      </c>
      <c r="C3" s="36" t="s">
        <v>137</v>
      </c>
      <c r="D3" s="36" t="s">
        <v>304</v>
      </c>
      <c r="E3" s="36" t="s">
        <v>139</v>
      </c>
      <c r="F3" s="36" t="s">
        <v>305</v>
      </c>
      <c r="G3" s="35" t="s">
        <v>92</v>
      </c>
      <c r="H3" s="49"/>
    </row>
    <row r="4" customFormat="false" ht="73.5" hidden="false" customHeight="true" outlineLevel="0" collapsed="false">
      <c r="A4" s="37" t="s">
        <v>303</v>
      </c>
      <c r="B4" s="35" t="s">
        <v>157</v>
      </c>
      <c r="C4" s="36" t="s">
        <v>158</v>
      </c>
      <c r="D4" s="36" t="s">
        <v>304</v>
      </c>
      <c r="E4" s="36" t="s">
        <v>160</v>
      </c>
      <c r="F4" s="36" t="s">
        <v>305</v>
      </c>
      <c r="G4" s="35" t="s">
        <v>92</v>
      </c>
      <c r="H4" s="49"/>
    </row>
    <row r="5" customFormat="false" ht="58.5" hidden="false" customHeight="true" outlineLevel="0" collapsed="false">
      <c r="A5" s="37" t="s">
        <v>303</v>
      </c>
      <c r="B5" s="35" t="s">
        <v>183</v>
      </c>
      <c r="C5" s="36" t="s">
        <v>184</v>
      </c>
      <c r="D5" s="36" t="s">
        <v>304</v>
      </c>
      <c r="E5" s="36" t="s">
        <v>186</v>
      </c>
      <c r="F5" s="36" t="s">
        <v>305</v>
      </c>
      <c r="G5" s="35" t="s">
        <v>92</v>
      </c>
      <c r="H5" s="49"/>
    </row>
    <row r="6" customFormat="false" ht="160.5" hidden="false" customHeight="true" outlineLevel="0" collapsed="false">
      <c r="A6" s="37" t="s">
        <v>303</v>
      </c>
      <c r="B6" s="35" t="s">
        <v>212</v>
      </c>
      <c r="C6" s="36" t="s">
        <v>184</v>
      </c>
      <c r="D6" s="36" t="s">
        <v>304</v>
      </c>
      <c r="E6" s="36" t="s">
        <v>214</v>
      </c>
      <c r="F6" s="36" t="s">
        <v>305</v>
      </c>
      <c r="G6" s="35" t="s">
        <v>92</v>
      </c>
      <c r="H6" s="49"/>
    </row>
    <row r="7" customFormat="false" ht="168.75" hidden="false" customHeight="true" outlineLevel="0" collapsed="false">
      <c r="A7" s="15" t="s">
        <v>306</v>
      </c>
      <c r="B7" s="13" t="s">
        <v>62</v>
      </c>
      <c r="C7" s="14" t="s">
        <v>63</v>
      </c>
      <c r="D7" s="14" t="s">
        <v>304</v>
      </c>
      <c r="E7" s="14" t="s">
        <v>65</v>
      </c>
      <c r="F7" s="14" t="s">
        <v>305</v>
      </c>
      <c r="G7" s="13" t="s">
        <v>92</v>
      </c>
      <c r="H7" s="49"/>
    </row>
    <row r="8" customFormat="false" ht="90" hidden="false" customHeight="true" outlineLevel="0" collapsed="false">
      <c r="A8" s="15" t="s">
        <v>306</v>
      </c>
      <c r="B8" s="13" t="s">
        <v>70</v>
      </c>
      <c r="C8" s="14" t="s">
        <v>63</v>
      </c>
      <c r="D8" s="14" t="s">
        <v>304</v>
      </c>
      <c r="E8" s="14" t="s">
        <v>72</v>
      </c>
      <c r="F8" s="14" t="s">
        <v>305</v>
      </c>
      <c r="G8" s="13" t="s">
        <v>92</v>
      </c>
      <c r="H8" s="49"/>
    </row>
    <row r="9" customFormat="false" ht="81.75" hidden="false" customHeight="true" outlineLevel="0" collapsed="false">
      <c r="A9" s="15" t="s">
        <v>306</v>
      </c>
      <c r="B9" s="13" t="s">
        <v>103</v>
      </c>
      <c r="C9" s="14" t="s">
        <v>82</v>
      </c>
      <c r="D9" s="14" t="s">
        <v>304</v>
      </c>
      <c r="E9" s="14" t="s">
        <v>105</v>
      </c>
      <c r="F9" s="14" t="s">
        <v>305</v>
      </c>
      <c r="G9" s="13" t="s">
        <v>92</v>
      </c>
      <c r="H9" s="49"/>
    </row>
    <row r="10" customFormat="false" ht="111" hidden="false" customHeight="true" outlineLevel="0" collapsed="false">
      <c r="A10" s="15" t="s">
        <v>306</v>
      </c>
      <c r="B10" s="13" t="s">
        <v>112</v>
      </c>
      <c r="C10" s="14" t="s">
        <v>113</v>
      </c>
      <c r="D10" s="14" t="s">
        <v>304</v>
      </c>
      <c r="E10" s="14" t="s">
        <v>115</v>
      </c>
      <c r="F10" s="14" t="s">
        <v>305</v>
      </c>
      <c r="G10" s="13" t="s">
        <v>92</v>
      </c>
      <c r="H10" s="49"/>
    </row>
    <row r="11" customFormat="false" ht="72.75" hidden="false" customHeight="true" outlineLevel="0" collapsed="false">
      <c r="A11" s="15" t="s">
        <v>306</v>
      </c>
      <c r="B11" s="13" t="s">
        <v>127</v>
      </c>
      <c r="C11" s="14" t="s">
        <v>113</v>
      </c>
      <c r="D11" s="14" t="s">
        <v>304</v>
      </c>
      <c r="E11" s="14" t="s">
        <v>129</v>
      </c>
      <c r="F11" s="14" t="s">
        <v>305</v>
      </c>
      <c r="G11" s="13" t="s">
        <v>92</v>
      </c>
      <c r="H11" s="49"/>
    </row>
    <row r="12" customFormat="false" ht="79.5" hidden="false" customHeight="true" outlineLevel="0" collapsed="false">
      <c r="A12" s="15" t="s">
        <v>306</v>
      </c>
      <c r="B12" s="13" t="s">
        <v>131</v>
      </c>
      <c r="C12" s="14" t="s">
        <v>113</v>
      </c>
      <c r="D12" s="14" t="s">
        <v>304</v>
      </c>
      <c r="E12" s="14" t="s">
        <v>133</v>
      </c>
      <c r="F12" s="14" t="s">
        <v>305</v>
      </c>
      <c r="G12" s="13" t="s">
        <v>92</v>
      </c>
      <c r="H12" s="49"/>
    </row>
    <row r="13" customFormat="false" ht="49.5" hidden="false" customHeight="true" outlineLevel="0" collapsed="false">
      <c r="A13" s="15" t="s">
        <v>306</v>
      </c>
      <c r="B13" s="13" t="s">
        <v>140</v>
      </c>
      <c r="C13" s="14" t="s">
        <v>137</v>
      </c>
      <c r="D13" s="14" t="s">
        <v>304</v>
      </c>
      <c r="E13" s="14" t="s">
        <v>142</v>
      </c>
      <c r="F13" s="14" t="s">
        <v>305</v>
      </c>
      <c r="G13" s="13" t="s">
        <v>92</v>
      </c>
      <c r="H13" s="49"/>
    </row>
    <row r="14" customFormat="false" ht="150" hidden="false" customHeight="true" outlineLevel="0" collapsed="false">
      <c r="A14" s="15" t="s">
        <v>306</v>
      </c>
      <c r="B14" s="13" t="s">
        <v>152</v>
      </c>
      <c r="C14" s="14" t="s">
        <v>145</v>
      </c>
      <c r="D14" s="14" t="s">
        <v>304</v>
      </c>
      <c r="E14" s="14" t="s">
        <v>154</v>
      </c>
      <c r="F14" s="14" t="s">
        <v>305</v>
      </c>
      <c r="G14" s="13" t="s">
        <v>92</v>
      </c>
      <c r="H14" s="49"/>
    </row>
    <row r="15" customFormat="false" ht="91.5" hidden="false" customHeight="true" outlineLevel="0" collapsed="false">
      <c r="A15" s="15" t="s">
        <v>306</v>
      </c>
      <c r="B15" s="13" t="s">
        <v>161</v>
      </c>
      <c r="C15" s="14" t="s">
        <v>158</v>
      </c>
      <c r="D15" s="14" t="s">
        <v>304</v>
      </c>
      <c r="E15" s="14" t="s">
        <v>163</v>
      </c>
      <c r="F15" s="14" t="s">
        <v>305</v>
      </c>
      <c r="G15" s="13" t="s">
        <v>92</v>
      </c>
      <c r="H15" s="49"/>
    </row>
    <row r="16" customFormat="false" ht="92.25" hidden="false" customHeight="true" outlineLevel="0" collapsed="false">
      <c r="A16" s="15" t="s">
        <v>306</v>
      </c>
      <c r="B16" s="13" t="s">
        <v>166</v>
      </c>
      <c r="C16" s="14" t="s">
        <v>158</v>
      </c>
      <c r="D16" s="14" t="s">
        <v>304</v>
      </c>
      <c r="E16" s="14" t="s">
        <v>168</v>
      </c>
      <c r="F16" s="14" t="s">
        <v>305</v>
      </c>
      <c r="G16" s="13" t="s">
        <v>92</v>
      </c>
      <c r="H16" s="49"/>
    </row>
    <row r="17" customFormat="false" ht="100.5" hidden="false" customHeight="true" outlineLevel="0" collapsed="false">
      <c r="A17" s="15" t="s">
        <v>306</v>
      </c>
      <c r="B17" s="13" t="s">
        <v>170</v>
      </c>
      <c r="C17" s="14" t="s">
        <v>158</v>
      </c>
      <c r="D17" s="14" t="s">
        <v>304</v>
      </c>
      <c r="E17" s="14" t="s">
        <v>172</v>
      </c>
      <c r="F17" s="14" t="s">
        <v>305</v>
      </c>
      <c r="G17" s="13" t="s">
        <v>92</v>
      </c>
      <c r="H17" s="49"/>
    </row>
    <row r="18" customFormat="false" ht="47.25" hidden="false" customHeight="true" outlineLevel="0" collapsed="false">
      <c r="A18" s="15" t="s">
        <v>306</v>
      </c>
      <c r="B18" s="13" t="s">
        <v>179</v>
      </c>
      <c r="C18" s="14" t="s">
        <v>158</v>
      </c>
      <c r="D18" s="14" t="s">
        <v>304</v>
      </c>
      <c r="E18" s="14" t="s">
        <v>181</v>
      </c>
      <c r="F18" s="14" t="s">
        <v>305</v>
      </c>
      <c r="G18" s="13" t="s">
        <v>92</v>
      </c>
      <c r="H18" s="49"/>
    </row>
    <row r="19" customFormat="false" ht="138.75" hidden="false" customHeight="true" outlineLevel="0" collapsed="false">
      <c r="A19" s="15" t="s">
        <v>306</v>
      </c>
      <c r="B19" s="13" t="s">
        <v>187</v>
      </c>
      <c r="C19" s="14" t="s">
        <v>184</v>
      </c>
      <c r="D19" s="14" t="s">
        <v>304</v>
      </c>
      <c r="E19" s="14" t="s">
        <v>189</v>
      </c>
      <c r="F19" s="14" t="s">
        <v>305</v>
      </c>
      <c r="G19" s="13" t="s">
        <v>92</v>
      </c>
      <c r="H19" s="49"/>
    </row>
    <row r="20" customFormat="false" ht="161.25" hidden="false" customHeight="true" outlineLevel="0" collapsed="false">
      <c r="A20" s="15" t="s">
        <v>306</v>
      </c>
      <c r="B20" s="13" t="s">
        <v>193</v>
      </c>
      <c r="C20" s="14" t="s">
        <v>184</v>
      </c>
      <c r="D20" s="14" t="s">
        <v>304</v>
      </c>
      <c r="E20" s="14" t="s">
        <v>195</v>
      </c>
      <c r="F20" s="14" t="s">
        <v>305</v>
      </c>
      <c r="G20" s="13" t="s">
        <v>92</v>
      </c>
      <c r="H20" s="49"/>
    </row>
    <row r="21" customFormat="false" ht="51" hidden="false" customHeight="true" outlineLevel="0" collapsed="false">
      <c r="A21" s="15" t="s">
        <v>306</v>
      </c>
      <c r="B21" s="13" t="s">
        <v>198</v>
      </c>
      <c r="C21" s="14" t="s">
        <v>184</v>
      </c>
      <c r="D21" s="14" t="s">
        <v>304</v>
      </c>
      <c r="E21" s="14" t="s">
        <v>200</v>
      </c>
      <c r="F21" s="14" t="s">
        <v>305</v>
      </c>
      <c r="G21" s="13" t="s">
        <v>92</v>
      </c>
      <c r="H21" s="49"/>
    </row>
    <row r="22" customFormat="false" ht="153" hidden="false" customHeight="true" outlineLevel="0" collapsed="false">
      <c r="A22" s="15" t="s">
        <v>306</v>
      </c>
      <c r="B22" s="13" t="s">
        <v>202</v>
      </c>
      <c r="C22" s="14" t="s">
        <v>184</v>
      </c>
      <c r="D22" s="14" t="s">
        <v>304</v>
      </c>
      <c r="E22" s="14" t="s">
        <v>204</v>
      </c>
      <c r="F22" s="14" t="s">
        <v>305</v>
      </c>
      <c r="G22" s="13" t="s">
        <v>92</v>
      </c>
      <c r="H22" s="49"/>
    </row>
    <row r="23" customFormat="false" ht="121.5" hidden="false" customHeight="true" outlineLevel="0" collapsed="false">
      <c r="A23" s="15" t="s">
        <v>306</v>
      </c>
      <c r="B23" s="13" t="s">
        <v>207</v>
      </c>
      <c r="C23" s="14" t="s">
        <v>184</v>
      </c>
      <c r="D23" s="14" t="s">
        <v>304</v>
      </c>
      <c r="E23" s="14" t="s">
        <v>209</v>
      </c>
      <c r="F23" s="14" t="s">
        <v>305</v>
      </c>
      <c r="G23" s="13" t="s">
        <v>92</v>
      </c>
      <c r="H23" s="49"/>
    </row>
  </sheetData>
  <autoFilter ref="A1:H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6"/>
    <col collapsed="false" customWidth="true" hidden="false" outlineLevel="0" max="4" min="4" style="0" width="58"/>
    <col collapsed="false" customWidth="true" hidden="false" outlineLevel="0" max="5" min="5" style="0" width="34"/>
  </cols>
  <sheetData>
    <row r="1" customFormat="false" ht="33.75" hidden="false" customHeight="true" outlineLevel="0" collapsed="false">
      <c r="A1" s="11" t="s">
        <v>307</v>
      </c>
      <c r="B1" s="11" t="s">
        <v>308</v>
      </c>
      <c r="C1" s="11" t="s">
        <v>309</v>
      </c>
      <c r="D1" s="11" t="s">
        <v>310</v>
      </c>
      <c r="E1" s="11" t="s">
        <v>311</v>
      </c>
    </row>
    <row r="2" customFormat="false" ht="78" hidden="false" customHeight="true" outlineLevel="0" collapsed="false">
      <c r="A2" s="50" t="s">
        <v>312</v>
      </c>
      <c r="B2" s="51" t="s">
        <v>313</v>
      </c>
      <c r="C2" s="49" t="s">
        <v>314</v>
      </c>
      <c r="D2" s="52" t="s">
        <v>315</v>
      </c>
      <c r="E2" s="52" t="s">
        <v>316</v>
      </c>
    </row>
    <row r="3" customFormat="false" ht="39.75" hidden="false" customHeight="true" outlineLevel="0" collapsed="false">
      <c r="A3" s="50" t="s">
        <v>312</v>
      </c>
      <c r="B3" s="51" t="s">
        <v>187</v>
      </c>
      <c r="C3" s="53" t="s">
        <v>317</v>
      </c>
      <c r="D3" s="52" t="s">
        <v>318</v>
      </c>
      <c r="E3" s="51"/>
    </row>
    <row r="4" customFormat="false" ht="42" hidden="false" customHeight="true" outlineLevel="0" collapsed="false">
      <c r="A4" s="50" t="s">
        <v>312</v>
      </c>
      <c r="B4" s="51" t="s">
        <v>187</v>
      </c>
      <c r="C4" s="49" t="s">
        <v>319</v>
      </c>
      <c r="D4" s="52" t="s">
        <v>320</v>
      </c>
      <c r="E4" s="51"/>
    </row>
    <row r="5" customFormat="false" ht="54.75" hidden="false" customHeight="true" outlineLevel="0" collapsed="false">
      <c r="A5" s="50" t="s">
        <v>312</v>
      </c>
      <c r="B5" s="51" t="s">
        <v>207</v>
      </c>
      <c r="C5" s="49" t="s">
        <v>321</v>
      </c>
      <c r="D5" s="52" t="s">
        <v>322</v>
      </c>
      <c r="E5" s="51"/>
    </row>
    <row r="6" customFormat="false" ht="39.75" hidden="false" customHeight="true" outlineLevel="0" collapsed="false">
      <c r="A6" s="50" t="s">
        <v>312</v>
      </c>
      <c r="B6" s="51" t="s">
        <v>236</v>
      </c>
      <c r="C6" s="49" t="s">
        <v>323</v>
      </c>
      <c r="D6" s="52" t="s">
        <v>324</v>
      </c>
      <c r="E6" s="51"/>
    </row>
    <row r="7" customFormat="false" ht="71.25" hidden="false" customHeight="true" outlineLevel="0" collapsed="false">
      <c r="A7" s="50" t="s">
        <v>312</v>
      </c>
      <c r="B7" s="51" t="s">
        <v>236</v>
      </c>
      <c r="C7" s="49" t="s">
        <v>325</v>
      </c>
      <c r="D7" s="52" t="s">
        <v>326</v>
      </c>
      <c r="E7" s="51"/>
    </row>
    <row r="8" customFormat="false" ht="39.75" hidden="false" customHeight="true" outlineLevel="0" collapsed="false">
      <c r="A8" s="50" t="s">
        <v>327</v>
      </c>
      <c r="B8" s="51" t="s">
        <v>328</v>
      </c>
      <c r="C8" s="49" t="s">
        <v>329</v>
      </c>
      <c r="D8" s="52" t="s">
        <v>330</v>
      </c>
      <c r="E8" s="51"/>
    </row>
    <row r="9" customFormat="false" ht="49.5" hidden="false" customHeight="true" outlineLevel="0" collapsed="false">
      <c r="A9" s="50" t="s">
        <v>312</v>
      </c>
      <c r="B9" s="51" t="s">
        <v>222</v>
      </c>
      <c r="C9" s="49" t="s">
        <v>331</v>
      </c>
      <c r="D9" s="52" t="s">
        <v>332</v>
      </c>
      <c r="E9" s="52" t="s">
        <v>333</v>
      </c>
    </row>
    <row r="10" customFormat="false" ht="51" hidden="false" customHeight="true" outlineLevel="0" collapsed="false">
      <c r="A10" s="50" t="s">
        <v>312</v>
      </c>
      <c r="B10" s="51" t="s">
        <v>193</v>
      </c>
      <c r="C10" s="49" t="s">
        <v>334</v>
      </c>
      <c r="D10" s="52" t="s">
        <v>335</v>
      </c>
      <c r="E10" s="52" t="s">
        <v>336</v>
      </c>
    </row>
    <row r="11" customFormat="false" ht="39.75" hidden="false" customHeight="true" outlineLevel="0" collapsed="false">
      <c r="A11" s="50" t="s">
        <v>327</v>
      </c>
      <c r="B11" s="51" t="s">
        <v>152</v>
      </c>
      <c r="C11" s="49" t="s">
        <v>337</v>
      </c>
      <c r="D11" s="52" t="s">
        <v>338</v>
      </c>
      <c r="E11" s="51"/>
    </row>
    <row r="12" customFormat="false" ht="39.75" hidden="false" customHeight="true" outlineLevel="0" collapsed="false">
      <c r="A12" s="50" t="s">
        <v>327</v>
      </c>
      <c r="B12" s="51" t="s">
        <v>127</v>
      </c>
      <c r="C12" s="49" t="s">
        <v>337</v>
      </c>
      <c r="D12" s="52" t="s">
        <v>339</v>
      </c>
      <c r="E12" s="51"/>
    </row>
    <row r="13" customFormat="false" ht="39.75" hidden="false" customHeight="true" outlineLevel="0" collapsed="false">
      <c r="A13" s="50" t="s">
        <v>327</v>
      </c>
      <c r="B13" s="51" t="s">
        <v>103</v>
      </c>
      <c r="C13" s="49" t="s">
        <v>5</v>
      </c>
      <c r="D13" s="52" t="s">
        <v>340</v>
      </c>
      <c r="E13" s="51"/>
    </row>
    <row r="14" customFormat="false" ht="69.75" hidden="false" customHeight="true" outlineLevel="0" collapsed="false">
      <c r="A14" s="50" t="s">
        <v>327</v>
      </c>
      <c r="B14" s="51" t="s">
        <v>131</v>
      </c>
      <c r="C14" s="49" t="s">
        <v>341</v>
      </c>
      <c r="D14" s="52" t="s">
        <v>342</v>
      </c>
      <c r="E14" s="52" t="s">
        <v>343</v>
      </c>
    </row>
    <row r="15" customFormat="false" ht="39.75" hidden="false" customHeight="true" outlineLevel="0" collapsed="false">
      <c r="A15" s="50" t="s">
        <v>344</v>
      </c>
      <c r="B15" s="51" t="s">
        <v>62</v>
      </c>
      <c r="C15" s="49" t="s">
        <v>345</v>
      </c>
      <c r="D15" s="52" t="s">
        <v>346</v>
      </c>
      <c r="E15" s="51"/>
    </row>
    <row r="16" customFormat="false" ht="46.5" hidden="false" customHeight="true" outlineLevel="0" collapsed="false">
      <c r="A16" s="54" t="s">
        <v>92</v>
      </c>
      <c r="B16" s="52" t="s">
        <v>347</v>
      </c>
      <c r="C16" s="53" t="s">
        <v>348</v>
      </c>
      <c r="D16" s="52" t="s">
        <v>349</v>
      </c>
      <c r="E16" s="51"/>
    </row>
    <row r="17" customFormat="false" ht="39.75" hidden="false" customHeight="true" outlineLevel="0" collapsed="false">
      <c r="A17" s="50" t="s">
        <v>327</v>
      </c>
      <c r="B17" s="51" t="s">
        <v>70</v>
      </c>
      <c r="C17" s="49" t="s">
        <v>350</v>
      </c>
      <c r="D17" s="52" t="s">
        <v>351</v>
      </c>
      <c r="E17" s="51"/>
    </row>
    <row r="18" customFormat="false" ht="39.75" hidden="false" customHeight="true" outlineLevel="0" collapsed="false">
      <c r="A18" s="50" t="s">
        <v>327</v>
      </c>
      <c r="B18" s="51" t="s">
        <v>75</v>
      </c>
      <c r="C18" s="49" t="s">
        <v>302</v>
      </c>
      <c r="D18" s="52" t="s">
        <v>352</v>
      </c>
      <c r="E18" s="51"/>
    </row>
    <row r="19" customFormat="false" ht="39.75" hidden="false" customHeight="true" outlineLevel="0" collapsed="false">
      <c r="A19" s="50" t="s">
        <v>327</v>
      </c>
      <c r="B19" s="51" t="s">
        <v>112</v>
      </c>
      <c r="C19" s="49" t="s">
        <v>353</v>
      </c>
      <c r="D19" s="52" t="s">
        <v>354</v>
      </c>
      <c r="E19" s="51"/>
    </row>
    <row r="20" customFormat="false" ht="40.5" hidden="false" customHeight="true" outlineLevel="0" collapsed="false">
      <c r="A20" s="50" t="s">
        <v>327</v>
      </c>
      <c r="B20" s="51" t="s">
        <v>131</v>
      </c>
      <c r="C20" s="49" t="s">
        <v>353</v>
      </c>
      <c r="D20" s="52" t="s">
        <v>355</v>
      </c>
      <c r="E20" s="51"/>
    </row>
    <row r="21" customFormat="false" ht="39.75" hidden="false" customHeight="true" outlineLevel="0" collapsed="false">
      <c r="A21" s="50" t="s">
        <v>327</v>
      </c>
      <c r="B21" s="51" t="s">
        <v>140</v>
      </c>
      <c r="C21" s="49" t="s">
        <v>356</v>
      </c>
      <c r="D21" s="52" t="s">
        <v>357</v>
      </c>
      <c r="E21" s="51"/>
    </row>
    <row r="22" customFormat="false" ht="47.25" hidden="false" customHeight="true" outlineLevel="0" collapsed="false">
      <c r="A22" s="50" t="s">
        <v>327</v>
      </c>
      <c r="B22" s="51" t="s">
        <v>166</v>
      </c>
      <c r="C22" s="49" t="s">
        <v>337</v>
      </c>
      <c r="D22" s="52" t="s">
        <v>358</v>
      </c>
      <c r="E22" s="51"/>
    </row>
    <row r="23" customFormat="false" ht="39.75" hidden="false" customHeight="true" outlineLevel="0" collapsed="false">
      <c r="A23" s="50" t="s">
        <v>327</v>
      </c>
      <c r="B23" s="51" t="s">
        <v>179</v>
      </c>
      <c r="C23" s="49" t="s">
        <v>350</v>
      </c>
      <c r="D23" s="52" t="s">
        <v>351</v>
      </c>
      <c r="E23" s="51"/>
    </row>
    <row r="24" customFormat="false" ht="39.75" hidden="false" customHeight="true" outlineLevel="0" collapsed="false">
      <c r="A24" s="50" t="s">
        <v>327</v>
      </c>
      <c r="B24" s="51" t="s">
        <v>198</v>
      </c>
      <c r="C24" s="49" t="s">
        <v>337</v>
      </c>
      <c r="D24" s="52" t="s">
        <v>359</v>
      </c>
      <c r="E24" s="51"/>
    </row>
    <row r="25" customFormat="false" ht="39.75" hidden="false" customHeight="true" outlineLevel="0" collapsed="false">
      <c r="A25" s="50" t="s">
        <v>327</v>
      </c>
      <c r="B25" s="51" t="s">
        <v>202</v>
      </c>
      <c r="C25" s="49" t="s">
        <v>360</v>
      </c>
      <c r="D25" s="52" t="s">
        <v>361</v>
      </c>
      <c r="E25" s="51"/>
    </row>
    <row r="26" customFormat="false" ht="39.75" hidden="false" customHeight="true" outlineLevel="0" collapsed="false">
      <c r="A26" s="50" t="s">
        <v>344</v>
      </c>
      <c r="B26" s="51" t="s">
        <v>175</v>
      </c>
      <c r="C26" s="49" t="s">
        <v>362</v>
      </c>
      <c r="D26" s="52" t="s">
        <v>363</v>
      </c>
      <c r="E26" s="52" t="s">
        <v>364</v>
      </c>
    </row>
    <row r="27" customFormat="false" ht="44.25" hidden="false" customHeight="true" outlineLevel="0" collapsed="false">
      <c r="A27" s="50" t="s">
        <v>344</v>
      </c>
      <c r="B27" s="51" t="s">
        <v>365</v>
      </c>
      <c r="C27" s="49" t="s">
        <v>362</v>
      </c>
      <c r="D27" s="52" t="s">
        <v>366</v>
      </c>
      <c r="E27" s="52" t="s">
        <v>367</v>
      </c>
    </row>
    <row r="28" customFormat="false" ht="39.75" hidden="false" customHeight="true" outlineLevel="0" collapsed="false">
      <c r="A28" s="50" t="s">
        <v>344</v>
      </c>
      <c r="B28" s="51" t="s">
        <v>98</v>
      </c>
      <c r="C28" s="49" t="s">
        <v>362</v>
      </c>
      <c r="D28" s="52" t="s">
        <v>368</v>
      </c>
      <c r="E28" s="51" t="s">
        <v>369</v>
      </c>
    </row>
    <row r="29" customFormat="false" ht="39.75" hidden="false" customHeight="true" outlineLevel="0" collapsed="false">
      <c r="A29" s="50" t="s">
        <v>344</v>
      </c>
      <c r="B29" s="52" t="s">
        <v>370</v>
      </c>
      <c r="C29" s="49" t="s">
        <v>371</v>
      </c>
      <c r="D29" s="52" t="s">
        <v>372</v>
      </c>
      <c r="E29" s="51"/>
    </row>
    <row r="30" customFormat="false" ht="39.75" hidden="false" customHeight="true" outlineLevel="0" collapsed="false">
      <c r="A30" s="50" t="s">
        <v>344</v>
      </c>
      <c r="B30" s="51" t="s">
        <v>373</v>
      </c>
      <c r="C30" s="49" t="s">
        <v>362</v>
      </c>
      <c r="D30" s="52" t="s">
        <v>374</v>
      </c>
      <c r="E30" s="52" t="s">
        <v>375</v>
      </c>
    </row>
    <row r="31" customFormat="false" ht="39.75" hidden="false" customHeight="true" outlineLevel="0" collapsed="false">
      <c r="A31" s="50" t="s">
        <v>344</v>
      </c>
      <c r="B31" s="51" t="s">
        <v>284</v>
      </c>
      <c r="C31" s="49" t="s">
        <v>362</v>
      </c>
      <c r="D31" s="52" t="s">
        <v>376</v>
      </c>
      <c r="E31" s="52" t="s">
        <v>377</v>
      </c>
    </row>
    <row r="32" customFormat="false" ht="39.75" hidden="false" customHeight="true" outlineLevel="0" collapsed="false">
      <c r="A32" s="50" t="s">
        <v>344</v>
      </c>
      <c r="B32" s="51" t="s">
        <v>289</v>
      </c>
      <c r="C32" s="49" t="s">
        <v>362</v>
      </c>
      <c r="D32" s="52" t="s">
        <v>378</v>
      </c>
      <c r="E32" s="5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3"/>
    <col collapsed="false" customWidth="true" hidden="false" outlineLevel="0" max="4" min="4" style="0" width="24"/>
    <col collapsed="false" customWidth="true" hidden="false" outlineLevel="0" max="5" min="5" style="0" width="56"/>
    <col collapsed="false" customWidth="true" hidden="false" outlineLevel="0" max="6" min="6" style="0" width="34"/>
    <col collapsed="false" customWidth="true" hidden="false" outlineLevel="0" max="7" min="7" style="0" width="20"/>
    <col collapsed="false" customWidth="true" hidden="false" outlineLevel="0" max="8" min="8" style="0" width="26"/>
    <col collapsed="false" customWidth="true" hidden="false" outlineLevel="0" max="9" min="9" style="0" width="16"/>
    <col collapsed="false" customWidth="true" hidden="false" outlineLevel="0" max="10" min="10" style="0" width="7"/>
    <col collapsed="false" customWidth="true" hidden="false" outlineLevel="0" max="12" min="11" style="0" width="12"/>
    <col collapsed="false" customWidth="true" hidden="false" outlineLevel="0" max="13" min="13" style="0" width="24"/>
  </cols>
  <sheetData>
    <row r="1" customFormat="false" ht="30" hidden="false" customHeight="true" outlineLevel="0" collapsed="false">
      <c r="A1" s="10" t="s">
        <v>379</v>
      </c>
      <c r="B1" s="11" t="s">
        <v>380</v>
      </c>
      <c r="C1" s="11" t="s">
        <v>381</v>
      </c>
      <c r="D1" s="11" t="s">
        <v>382</v>
      </c>
      <c r="E1" s="11" t="s">
        <v>383</v>
      </c>
      <c r="F1" s="11" t="s">
        <v>384</v>
      </c>
      <c r="G1" s="11" t="s">
        <v>385</v>
      </c>
      <c r="H1" s="11" t="s">
        <v>386</v>
      </c>
      <c r="I1" s="11" t="s">
        <v>387</v>
      </c>
      <c r="J1" s="11" t="s">
        <v>388</v>
      </c>
      <c r="K1" s="11" t="s">
        <v>389</v>
      </c>
      <c r="L1" s="11" t="s">
        <v>390</v>
      </c>
      <c r="M1" s="11" t="s">
        <v>50</v>
      </c>
    </row>
    <row r="2" customFormat="false" ht="145.5" hidden="false" customHeight="true" outlineLevel="0" collapsed="false">
      <c r="A2" s="55" t="s">
        <v>62</v>
      </c>
      <c r="B2" s="56" t="s">
        <v>391</v>
      </c>
      <c r="C2" s="55" t="s">
        <v>392</v>
      </c>
      <c r="D2" s="52" t="s">
        <v>64</v>
      </c>
      <c r="E2" s="52" t="s">
        <v>65</v>
      </c>
      <c r="F2" s="52" t="s">
        <v>66</v>
      </c>
      <c r="G2" s="55"/>
      <c r="H2" s="55" t="s">
        <v>393</v>
      </c>
      <c r="I2" s="55"/>
      <c r="J2" s="55" t="s">
        <v>394</v>
      </c>
      <c r="K2" s="55"/>
      <c r="L2" s="55"/>
      <c r="M2" s="57" t="s">
        <v>62</v>
      </c>
    </row>
    <row r="3" customFormat="false" ht="78" hidden="false" customHeight="true" outlineLevel="0" collapsed="false">
      <c r="A3" s="55" t="s">
        <v>70</v>
      </c>
      <c r="B3" s="56" t="s">
        <v>391</v>
      </c>
      <c r="C3" s="55" t="s">
        <v>392</v>
      </c>
      <c r="D3" s="52" t="s">
        <v>71</v>
      </c>
      <c r="E3" s="52" t="s">
        <v>72</v>
      </c>
      <c r="F3" s="52" t="s">
        <v>73</v>
      </c>
      <c r="G3" s="55"/>
      <c r="H3" s="55"/>
      <c r="I3" s="55"/>
      <c r="J3" s="55" t="s">
        <v>394</v>
      </c>
      <c r="K3" s="55"/>
      <c r="L3" s="55"/>
      <c r="M3" s="57" t="s">
        <v>70</v>
      </c>
    </row>
    <row r="4" customFormat="false" ht="59.25" hidden="false" customHeight="true" outlineLevel="0" collapsed="false">
      <c r="A4" s="55" t="s">
        <v>395</v>
      </c>
      <c r="B4" s="56" t="s">
        <v>3</v>
      </c>
      <c r="C4" s="55" t="s">
        <v>392</v>
      </c>
      <c r="D4" s="52" t="s">
        <v>76</v>
      </c>
      <c r="E4" s="52" t="s">
        <v>396</v>
      </c>
      <c r="F4" s="51"/>
      <c r="G4" s="55"/>
      <c r="H4" s="55"/>
      <c r="I4" s="55"/>
      <c r="J4" s="55" t="s">
        <v>394</v>
      </c>
      <c r="K4" s="55"/>
      <c r="L4" s="55"/>
      <c r="M4" s="57" t="s">
        <v>75</v>
      </c>
    </row>
    <row r="5" customFormat="false" ht="66.75" hidden="false" customHeight="true" outlineLevel="0" collapsed="false">
      <c r="A5" s="55" t="s">
        <v>397</v>
      </c>
      <c r="B5" s="56" t="s">
        <v>5</v>
      </c>
      <c r="C5" s="55" t="s">
        <v>392</v>
      </c>
      <c r="D5" s="52" t="s">
        <v>76</v>
      </c>
      <c r="E5" s="52" t="s">
        <v>398</v>
      </c>
      <c r="F5" s="52" t="s">
        <v>79</v>
      </c>
      <c r="G5" s="55"/>
      <c r="H5" s="55"/>
      <c r="I5" s="55"/>
      <c r="J5" s="55" t="s">
        <v>394</v>
      </c>
      <c r="K5" s="55"/>
      <c r="L5" s="55"/>
      <c r="M5" s="57" t="s">
        <v>75</v>
      </c>
    </row>
    <row r="6" customFormat="false" ht="87.75" hidden="false" customHeight="true" outlineLevel="0" collapsed="false">
      <c r="A6" s="55" t="s">
        <v>399</v>
      </c>
      <c r="B6" s="56" t="s">
        <v>3</v>
      </c>
      <c r="C6" s="55" t="s">
        <v>400</v>
      </c>
      <c r="D6" s="51" t="s">
        <v>83</v>
      </c>
      <c r="E6" s="52" t="s">
        <v>401</v>
      </c>
      <c r="F6" s="51"/>
      <c r="G6" s="55"/>
      <c r="H6" s="55"/>
      <c r="I6" s="55"/>
      <c r="J6" s="55" t="s">
        <v>394</v>
      </c>
      <c r="K6" s="55"/>
      <c r="L6" s="55"/>
      <c r="M6" s="57" t="s">
        <v>81</v>
      </c>
    </row>
    <row r="7" customFormat="false" ht="115.5" hidden="false" customHeight="true" outlineLevel="0" collapsed="false">
      <c r="A7" s="55" t="s">
        <v>402</v>
      </c>
      <c r="B7" s="56" t="s">
        <v>5</v>
      </c>
      <c r="C7" s="55" t="s">
        <v>400</v>
      </c>
      <c r="D7" s="51" t="s">
        <v>83</v>
      </c>
      <c r="E7" s="52" t="s">
        <v>403</v>
      </c>
      <c r="F7" s="52" t="s">
        <v>86</v>
      </c>
      <c r="G7" s="55"/>
      <c r="H7" s="55"/>
      <c r="I7" s="55"/>
      <c r="J7" s="55" t="s">
        <v>394</v>
      </c>
      <c r="K7" s="55"/>
      <c r="L7" s="55"/>
      <c r="M7" s="57" t="s">
        <v>81</v>
      </c>
    </row>
    <row r="8" customFormat="false" ht="54.75" hidden="false" customHeight="true" outlineLevel="0" collapsed="false">
      <c r="A8" s="55" t="s">
        <v>88</v>
      </c>
      <c r="B8" s="56" t="s">
        <v>3</v>
      </c>
      <c r="C8" s="55" t="s">
        <v>400</v>
      </c>
      <c r="D8" s="52" t="s">
        <v>89</v>
      </c>
      <c r="E8" s="52" t="s">
        <v>90</v>
      </c>
      <c r="F8" s="51"/>
      <c r="G8" s="55"/>
      <c r="H8" s="55"/>
      <c r="I8" s="55"/>
      <c r="J8" s="55" t="s">
        <v>394</v>
      </c>
      <c r="K8" s="55"/>
      <c r="L8" s="55"/>
      <c r="M8" s="57" t="s">
        <v>88</v>
      </c>
    </row>
    <row r="9" customFormat="false" ht="55.5" hidden="false" customHeight="true" outlineLevel="0" collapsed="false">
      <c r="A9" s="55" t="s">
        <v>404</v>
      </c>
      <c r="B9" s="56" t="s">
        <v>3</v>
      </c>
      <c r="C9" s="55" t="s">
        <v>400</v>
      </c>
      <c r="D9" s="52" t="s">
        <v>94</v>
      </c>
      <c r="E9" s="52" t="s">
        <v>405</v>
      </c>
      <c r="F9" s="51"/>
      <c r="G9" s="55"/>
      <c r="H9" s="55"/>
      <c r="I9" s="55"/>
      <c r="J9" s="55" t="s">
        <v>394</v>
      </c>
      <c r="K9" s="55"/>
      <c r="L9" s="55"/>
      <c r="M9" s="57" t="s">
        <v>93</v>
      </c>
    </row>
    <row r="10" customFormat="false" ht="66.75" hidden="false" customHeight="true" outlineLevel="0" collapsed="false">
      <c r="A10" s="55" t="s">
        <v>406</v>
      </c>
      <c r="B10" s="56" t="s">
        <v>5</v>
      </c>
      <c r="C10" s="55" t="s">
        <v>400</v>
      </c>
      <c r="D10" s="52" t="s">
        <v>94</v>
      </c>
      <c r="E10" s="52" t="s">
        <v>407</v>
      </c>
      <c r="F10" s="51"/>
      <c r="G10" s="55"/>
      <c r="H10" s="55"/>
      <c r="I10" s="55"/>
      <c r="J10" s="55" t="s">
        <v>394</v>
      </c>
      <c r="K10" s="55"/>
      <c r="L10" s="55"/>
      <c r="M10" s="57" t="s">
        <v>93</v>
      </c>
    </row>
    <row r="11" customFormat="false" ht="75.75" hidden="false" customHeight="true" outlineLevel="0" collapsed="false">
      <c r="A11" s="55" t="s">
        <v>408</v>
      </c>
      <c r="B11" s="56" t="s">
        <v>3</v>
      </c>
      <c r="C11" s="55" t="s">
        <v>400</v>
      </c>
      <c r="D11" s="52" t="s">
        <v>99</v>
      </c>
      <c r="E11" s="52" t="s">
        <v>409</v>
      </c>
      <c r="F11" s="51"/>
      <c r="G11" s="55"/>
      <c r="H11" s="55"/>
      <c r="I11" s="55"/>
      <c r="J11" s="55" t="s">
        <v>394</v>
      </c>
      <c r="K11" s="55"/>
      <c r="L11" s="55"/>
      <c r="M11" s="57" t="s">
        <v>98</v>
      </c>
    </row>
    <row r="12" customFormat="false" ht="41.25" hidden="false" customHeight="true" outlineLevel="0" collapsed="false">
      <c r="A12" s="55" t="s">
        <v>410</v>
      </c>
      <c r="B12" s="56" t="s">
        <v>5</v>
      </c>
      <c r="C12" s="55" t="s">
        <v>400</v>
      </c>
      <c r="D12" s="52" t="s">
        <v>99</v>
      </c>
      <c r="E12" s="52" t="s">
        <v>411</v>
      </c>
      <c r="F12" s="51"/>
      <c r="G12" s="55"/>
      <c r="H12" s="55"/>
      <c r="I12" s="55"/>
      <c r="J12" s="55" t="s">
        <v>394</v>
      </c>
      <c r="K12" s="55"/>
      <c r="L12" s="55"/>
      <c r="M12" s="57" t="s">
        <v>98</v>
      </c>
    </row>
    <row r="13" customFormat="false" ht="71.25" hidden="false" customHeight="true" outlineLevel="0" collapsed="false">
      <c r="A13" s="55" t="s">
        <v>103</v>
      </c>
      <c r="B13" s="56" t="s">
        <v>391</v>
      </c>
      <c r="C13" s="55" t="s">
        <v>400</v>
      </c>
      <c r="D13" s="52" t="s">
        <v>104</v>
      </c>
      <c r="E13" s="52" t="s">
        <v>105</v>
      </c>
      <c r="F13" s="51"/>
      <c r="G13" s="55"/>
      <c r="H13" s="55"/>
      <c r="I13" s="55"/>
      <c r="J13" s="55" t="s">
        <v>394</v>
      </c>
      <c r="K13" s="55"/>
      <c r="L13" s="55"/>
      <c r="M13" s="57" t="s">
        <v>103</v>
      </c>
    </row>
    <row r="14" customFormat="false" ht="46.5" hidden="false" customHeight="true" outlineLevel="0" collapsed="false">
      <c r="A14" s="55" t="s">
        <v>412</v>
      </c>
      <c r="B14" s="56" t="s">
        <v>3</v>
      </c>
      <c r="C14" s="55" t="s">
        <v>400</v>
      </c>
      <c r="D14" s="52" t="s">
        <v>108</v>
      </c>
      <c r="E14" s="52" t="s">
        <v>413</v>
      </c>
      <c r="F14" s="51"/>
      <c r="G14" s="55"/>
      <c r="H14" s="55"/>
      <c r="I14" s="55"/>
      <c r="J14" s="55" t="s">
        <v>394</v>
      </c>
      <c r="K14" s="55"/>
      <c r="L14" s="55"/>
      <c r="M14" s="57" t="s">
        <v>107</v>
      </c>
    </row>
    <row r="15" customFormat="false" ht="42" hidden="false" customHeight="true" outlineLevel="0" collapsed="false">
      <c r="A15" s="55" t="s">
        <v>414</v>
      </c>
      <c r="B15" s="56" t="s">
        <v>5</v>
      </c>
      <c r="C15" s="55" t="s">
        <v>400</v>
      </c>
      <c r="D15" s="52" t="s">
        <v>108</v>
      </c>
      <c r="E15" s="52" t="s">
        <v>415</v>
      </c>
      <c r="F15" s="51"/>
      <c r="G15" s="55"/>
      <c r="H15" s="55"/>
      <c r="I15" s="55"/>
      <c r="J15" s="55" t="s">
        <v>394</v>
      </c>
      <c r="K15" s="55"/>
      <c r="L15" s="55"/>
      <c r="M15" s="57" t="s">
        <v>107</v>
      </c>
    </row>
    <row r="16" customFormat="false" ht="96" hidden="false" customHeight="true" outlineLevel="0" collapsed="false">
      <c r="A16" s="55" t="s">
        <v>112</v>
      </c>
      <c r="B16" s="56" t="s">
        <v>391</v>
      </c>
      <c r="C16" s="55" t="s">
        <v>416</v>
      </c>
      <c r="D16" s="52" t="s">
        <v>114</v>
      </c>
      <c r="E16" s="52" t="s">
        <v>115</v>
      </c>
      <c r="F16" s="52" t="s">
        <v>116</v>
      </c>
      <c r="G16" s="55"/>
      <c r="H16" s="55"/>
      <c r="I16" s="55"/>
      <c r="J16" s="55" t="s">
        <v>394</v>
      </c>
      <c r="K16" s="55"/>
      <c r="L16" s="55"/>
      <c r="M16" s="57" t="s">
        <v>112</v>
      </c>
    </row>
    <row r="17" customFormat="false" ht="45.75" hidden="false" customHeight="true" outlineLevel="0" collapsed="false">
      <c r="A17" s="55" t="s">
        <v>117</v>
      </c>
      <c r="B17" s="56" t="s">
        <v>3</v>
      </c>
      <c r="C17" s="55" t="s">
        <v>416</v>
      </c>
      <c r="D17" s="52" t="s">
        <v>118</v>
      </c>
      <c r="E17" s="52" t="s">
        <v>119</v>
      </c>
      <c r="F17" s="51"/>
      <c r="G17" s="55"/>
      <c r="H17" s="55"/>
      <c r="I17" s="55"/>
      <c r="J17" s="55" t="s">
        <v>394</v>
      </c>
      <c r="K17" s="55"/>
      <c r="L17" s="55"/>
      <c r="M17" s="57" t="s">
        <v>117</v>
      </c>
    </row>
    <row r="18" customFormat="false" ht="144.75" hidden="false" customHeight="true" outlineLevel="0" collapsed="false">
      <c r="A18" s="55" t="s">
        <v>417</v>
      </c>
      <c r="B18" s="56" t="s">
        <v>3</v>
      </c>
      <c r="C18" s="55" t="s">
        <v>416</v>
      </c>
      <c r="D18" s="52" t="s">
        <v>121</v>
      </c>
      <c r="E18" s="52" t="s">
        <v>418</v>
      </c>
      <c r="F18" s="52" t="s">
        <v>419</v>
      </c>
      <c r="G18" s="55"/>
      <c r="H18" s="55"/>
      <c r="I18" s="55"/>
      <c r="J18" s="55" t="s">
        <v>394</v>
      </c>
      <c r="K18" s="55"/>
      <c r="L18" s="55"/>
      <c r="M18" s="57" t="s">
        <v>120</v>
      </c>
    </row>
    <row r="19" customFormat="false" ht="99" hidden="false" customHeight="true" outlineLevel="0" collapsed="false">
      <c r="A19" s="55" t="s">
        <v>420</v>
      </c>
      <c r="B19" s="56" t="s">
        <v>5</v>
      </c>
      <c r="C19" s="55" t="s">
        <v>416</v>
      </c>
      <c r="D19" s="52" t="s">
        <v>121</v>
      </c>
      <c r="E19" s="52" t="s">
        <v>421</v>
      </c>
      <c r="F19" s="52" t="s">
        <v>422</v>
      </c>
      <c r="G19" s="55"/>
      <c r="H19" s="55"/>
      <c r="I19" s="55"/>
      <c r="J19" s="55" t="s">
        <v>394</v>
      </c>
      <c r="K19" s="55"/>
      <c r="L19" s="55"/>
      <c r="M19" s="57" t="s">
        <v>120</v>
      </c>
    </row>
    <row r="20" customFormat="false" ht="63" hidden="false" customHeight="true" outlineLevel="0" collapsed="false">
      <c r="A20" s="55" t="s">
        <v>127</v>
      </c>
      <c r="B20" s="56" t="s">
        <v>391</v>
      </c>
      <c r="C20" s="55" t="s">
        <v>416</v>
      </c>
      <c r="D20" s="52" t="s">
        <v>128</v>
      </c>
      <c r="E20" s="52" t="s">
        <v>129</v>
      </c>
      <c r="F20" s="51"/>
      <c r="G20" s="55"/>
      <c r="H20" s="55"/>
      <c r="I20" s="55"/>
      <c r="J20" s="55" t="s">
        <v>394</v>
      </c>
      <c r="K20" s="55"/>
      <c r="L20" s="55"/>
      <c r="M20" s="57" t="s">
        <v>127</v>
      </c>
    </row>
    <row r="21" customFormat="false" ht="69" hidden="false" customHeight="true" outlineLevel="0" collapsed="false">
      <c r="A21" s="55" t="s">
        <v>131</v>
      </c>
      <c r="B21" s="56" t="s">
        <v>391</v>
      </c>
      <c r="C21" s="55" t="s">
        <v>416</v>
      </c>
      <c r="D21" s="52" t="s">
        <v>132</v>
      </c>
      <c r="E21" s="52" t="s">
        <v>133</v>
      </c>
      <c r="F21" s="51"/>
      <c r="G21" s="55"/>
      <c r="H21" s="55" t="s">
        <v>423</v>
      </c>
      <c r="I21" s="55"/>
      <c r="J21" s="55" t="s">
        <v>394</v>
      </c>
      <c r="K21" s="55"/>
      <c r="L21" s="55"/>
      <c r="M21" s="57" t="s">
        <v>131</v>
      </c>
    </row>
    <row r="22" customFormat="false" ht="54" hidden="false" customHeight="true" outlineLevel="0" collapsed="false">
      <c r="A22" s="55" t="s">
        <v>136</v>
      </c>
      <c r="B22" s="56" t="s">
        <v>391</v>
      </c>
      <c r="C22" s="55" t="s">
        <v>424</v>
      </c>
      <c r="D22" s="52" t="s">
        <v>138</v>
      </c>
      <c r="E22" s="52" t="s">
        <v>139</v>
      </c>
      <c r="F22" s="51"/>
      <c r="G22" s="55"/>
      <c r="H22" s="55"/>
      <c r="I22" s="55"/>
      <c r="J22" s="55" t="s">
        <v>394</v>
      </c>
      <c r="K22" s="55"/>
      <c r="L22" s="55"/>
      <c r="M22" s="57" t="s">
        <v>136</v>
      </c>
    </row>
    <row r="23" customFormat="false" ht="43.5" hidden="false" customHeight="true" outlineLevel="0" collapsed="false">
      <c r="A23" s="55" t="s">
        <v>140</v>
      </c>
      <c r="B23" s="56" t="s">
        <v>391</v>
      </c>
      <c r="C23" s="55" t="s">
        <v>424</v>
      </c>
      <c r="D23" s="52" t="s">
        <v>141</v>
      </c>
      <c r="E23" s="52" t="s">
        <v>142</v>
      </c>
      <c r="F23" s="51"/>
      <c r="G23" s="55"/>
      <c r="H23" s="55"/>
      <c r="I23" s="55"/>
      <c r="J23" s="55" t="s">
        <v>394</v>
      </c>
      <c r="K23" s="55"/>
      <c r="L23" s="55"/>
      <c r="M23" s="57" t="s">
        <v>140</v>
      </c>
    </row>
    <row r="24" customFormat="false" ht="136.5" hidden="false" customHeight="true" outlineLevel="0" collapsed="false">
      <c r="A24" s="55" t="s">
        <v>425</v>
      </c>
      <c r="B24" s="56" t="s">
        <v>3</v>
      </c>
      <c r="C24" s="55" t="s">
        <v>426</v>
      </c>
      <c r="D24" s="52" t="s">
        <v>146</v>
      </c>
      <c r="E24" s="52" t="s">
        <v>427</v>
      </c>
      <c r="F24" s="52" t="s">
        <v>428</v>
      </c>
      <c r="G24" s="55"/>
      <c r="H24" s="55"/>
      <c r="I24" s="55"/>
      <c r="J24" s="55" t="s">
        <v>394</v>
      </c>
      <c r="K24" s="55"/>
      <c r="L24" s="55"/>
      <c r="M24" s="57" t="s">
        <v>144</v>
      </c>
    </row>
    <row r="25" customFormat="false" ht="132" hidden="false" customHeight="true" outlineLevel="0" collapsed="false">
      <c r="A25" s="55" t="s">
        <v>429</v>
      </c>
      <c r="B25" s="56" t="s">
        <v>5</v>
      </c>
      <c r="C25" s="55" t="s">
        <v>426</v>
      </c>
      <c r="D25" s="52" t="s">
        <v>146</v>
      </c>
      <c r="E25" s="52" t="s">
        <v>430</v>
      </c>
      <c r="F25" s="52" t="s">
        <v>431</v>
      </c>
      <c r="G25" s="55"/>
      <c r="H25" s="55"/>
      <c r="I25" s="55"/>
      <c r="J25" s="55" t="s">
        <v>394</v>
      </c>
      <c r="K25" s="55"/>
      <c r="L25" s="55"/>
      <c r="M25" s="57" t="s">
        <v>144</v>
      </c>
    </row>
    <row r="26" customFormat="false" ht="129" hidden="false" customHeight="true" outlineLevel="0" collapsed="false">
      <c r="A26" s="55" t="s">
        <v>152</v>
      </c>
      <c r="B26" s="56" t="s">
        <v>391</v>
      </c>
      <c r="C26" s="55" t="s">
        <v>426</v>
      </c>
      <c r="D26" s="52" t="s">
        <v>153</v>
      </c>
      <c r="E26" s="52" t="s">
        <v>154</v>
      </c>
      <c r="F26" s="52" t="s">
        <v>155</v>
      </c>
      <c r="G26" s="55"/>
      <c r="H26" s="55"/>
      <c r="I26" s="55"/>
      <c r="J26" s="55" t="s">
        <v>394</v>
      </c>
      <c r="K26" s="55"/>
      <c r="L26" s="55"/>
      <c r="M26" s="57" t="s">
        <v>152</v>
      </c>
    </row>
    <row r="27" customFormat="false" ht="63.75" hidden="false" customHeight="true" outlineLevel="0" collapsed="false">
      <c r="A27" s="55" t="s">
        <v>157</v>
      </c>
      <c r="B27" s="56" t="s">
        <v>391</v>
      </c>
      <c r="C27" s="55" t="s">
        <v>432</v>
      </c>
      <c r="D27" s="52" t="s">
        <v>159</v>
      </c>
      <c r="E27" s="52" t="s">
        <v>160</v>
      </c>
      <c r="F27" s="51"/>
      <c r="G27" s="55"/>
      <c r="H27" s="55"/>
      <c r="I27" s="55"/>
      <c r="J27" s="55" t="s">
        <v>433</v>
      </c>
      <c r="K27" s="55"/>
      <c r="L27" s="55"/>
      <c r="M27" s="57" t="s">
        <v>157</v>
      </c>
    </row>
    <row r="28" customFormat="false" ht="79.5" hidden="false" customHeight="true" outlineLevel="0" collapsed="false">
      <c r="A28" s="55" t="s">
        <v>161</v>
      </c>
      <c r="B28" s="56" t="s">
        <v>391</v>
      </c>
      <c r="C28" s="55" t="s">
        <v>432</v>
      </c>
      <c r="D28" s="52" t="s">
        <v>162</v>
      </c>
      <c r="E28" s="52" t="s">
        <v>163</v>
      </c>
      <c r="F28" s="52" t="s">
        <v>164</v>
      </c>
      <c r="G28" s="55"/>
      <c r="H28" s="55"/>
      <c r="I28" s="55"/>
      <c r="J28" s="55" t="s">
        <v>433</v>
      </c>
      <c r="K28" s="55"/>
      <c r="L28" s="55"/>
      <c r="M28" s="57" t="s">
        <v>161</v>
      </c>
    </row>
    <row r="29" customFormat="false" ht="80.25" hidden="false" customHeight="true" outlineLevel="0" collapsed="false">
      <c r="A29" s="55" t="s">
        <v>166</v>
      </c>
      <c r="B29" s="56" t="s">
        <v>391</v>
      </c>
      <c r="C29" s="55" t="s">
        <v>432</v>
      </c>
      <c r="D29" s="52" t="s">
        <v>167</v>
      </c>
      <c r="E29" s="52" t="s">
        <v>168</v>
      </c>
      <c r="F29" s="51"/>
      <c r="G29" s="55"/>
      <c r="H29" s="55"/>
      <c r="I29" s="55"/>
      <c r="J29" s="55" t="s">
        <v>433</v>
      </c>
      <c r="K29" s="55"/>
      <c r="L29" s="55"/>
      <c r="M29" s="57" t="s">
        <v>166</v>
      </c>
    </row>
    <row r="30" customFormat="false" ht="87" hidden="false" customHeight="true" outlineLevel="0" collapsed="false">
      <c r="A30" s="55" t="s">
        <v>170</v>
      </c>
      <c r="B30" s="56" t="s">
        <v>391</v>
      </c>
      <c r="C30" s="55" t="s">
        <v>432</v>
      </c>
      <c r="D30" s="52" t="s">
        <v>171</v>
      </c>
      <c r="E30" s="52" t="s">
        <v>172</v>
      </c>
      <c r="F30" s="52" t="s">
        <v>173</v>
      </c>
      <c r="G30" s="55"/>
      <c r="H30" s="55"/>
      <c r="I30" s="55"/>
      <c r="J30" s="55" t="s">
        <v>433</v>
      </c>
      <c r="K30" s="55"/>
      <c r="L30" s="55"/>
      <c r="M30" s="57" t="s">
        <v>170</v>
      </c>
    </row>
    <row r="31" customFormat="false" ht="60" hidden="false" customHeight="true" outlineLevel="0" collapsed="false">
      <c r="A31" s="55" t="s">
        <v>175</v>
      </c>
      <c r="B31" s="56" t="s">
        <v>3</v>
      </c>
      <c r="C31" s="55" t="s">
        <v>432</v>
      </c>
      <c r="D31" s="52" t="s">
        <v>176</v>
      </c>
      <c r="E31" s="52" t="s">
        <v>177</v>
      </c>
      <c r="F31" s="51"/>
      <c r="G31" s="55"/>
      <c r="H31" s="55"/>
      <c r="I31" s="55"/>
      <c r="J31" s="55" t="s">
        <v>394</v>
      </c>
      <c r="K31" s="55"/>
      <c r="L31" s="55"/>
      <c r="M31" s="57" t="s">
        <v>175</v>
      </c>
    </row>
    <row r="32" customFormat="false" ht="41.25" hidden="false" customHeight="true" outlineLevel="0" collapsed="false">
      <c r="A32" s="55" t="s">
        <v>179</v>
      </c>
      <c r="B32" s="56" t="s">
        <v>391</v>
      </c>
      <c r="C32" s="55" t="s">
        <v>432</v>
      </c>
      <c r="D32" s="52" t="s">
        <v>180</v>
      </c>
      <c r="E32" s="52" t="s">
        <v>181</v>
      </c>
      <c r="F32" s="52" t="s">
        <v>181</v>
      </c>
      <c r="G32" s="55"/>
      <c r="H32" s="55"/>
      <c r="I32" s="55"/>
      <c r="J32" s="55" t="s">
        <v>394</v>
      </c>
      <c r="K32" s="55"/>
      <c r="L32" s="55"/>
      <c r="M32" s="57" t="s">
        <v>179</v>
      </c>
    </row>
    <row r="33" customFormat="false" ht="51" hidden="false" customHeight="true" outlineLevel="0" collapsed="false">
      <c r="A33" s="55" t="s">
        <v>183</v>
      </c>
      <c r="B33" s="56" t="s">
        <v>391</v>
      </c>
      <c r="C33" s="55" t="s">
        <v>434</v>
      </c>
      <c r="D33" s="52" t="s">
        <v>185</v>
      </c>
      <c r="E33" s="52" t="s">
        <v>186</v>
      </c>
      <c r="F33" s="51"/>
      <c r="G33" s="55"/>
      <c r="H33" s="55"/>
      <c r="I33" s="55"/>
      <c r="J33" s="55" t="s">
        <v>394</v>
      </c>
      <c r="K33" s="55"/>
      <c r="L33" s="55"/>
      <c r="M33" s="57" t="s">
        <v>183</v>
      </c>
    </row>
    <row r="34" customFormat="false" ht="120" hidden="false" customHeight="true" outlineLevel="0" collapsed="false">
      <c r="A34" s="55" t="s">
        <v>187</v>
      </c>
      <c r="B34" s="56" t="s">
        <v>391</v>
      </c>
      <c r="C34" s="55" t="s">
        <v>434</v>
      </c>
      <c r="D34" s="52" t="s">
        <v>188</v>
      </c>
      <c r="E34" s="52" t="s">
        <v>189</v>
      </c>
      <c r="F34" s="51" t="s">
        <v>190</v>
      </c>
      <c r="G34" s="55"/>
      <c r="H34" s="55"/>
      <c r="I34" s="55"/>
      <c r="J34" s="55" t="s">
        <v>433</v>
      </c>
      <c r="K34" s="55" t="s">
        <v>435</v>
      </c>
      <c r="L34" s="55" t="s">
        <v>436</v>
      </c>
      <c r="M34" s="57" t="s">
        <v>187</v>
      </c>
    </row>
    <row r="35" customFormat="false" ht="138.75" hidden="false" customHeight="true" outlineLevel="0" collapsed="false">
      <c r="A35" s="55" t="s">
        <v>193</v>
      </c>
      <c r="B35" s="56" t="s">
        <v>391</v>
      </c>
      <c r="C35" s="55" t="s">
        <v>434</v>
      </c>
      <c r="D35" s="52" t="s">
        <v>194</v>
      </c>
      <c r="E35" s="52" t="s">
        <v>195</v>
      </c>
      <c r="F35" s="52" t="s">
        <v>196</v>
      </c>
      <c r="G35" s="55"/>
      <c r="H35" s="55"/>
      <c r="I35" s="55"/>
      <c r="J35" s="55" t="s">
        <v>433</v>
      </c>
      <c r="K35" s="55" t="s">
        <v>435</v>
      </c>
      <c r="L35" s="55" t="s">
        <v>436</v>
      </c>
      <c r="M35" s="57" t="s">
        <v>193</v>
      </c>
    </row>
    <row r="36" customFormat="false" ht="45" hidden="false" customHeight="true" outlineLevel="0" collapsed="false">
      <c r="A36" s="55" t="s">
        <v>198</v>
      </c>
      <c r="B36" s="56" t="s">
        <v>391</v>
      </c>
      <c r="C36" s="55" t="s">
        <v>434</v>
      </c>
      <c r="D36" s="52" t="s">
        <v>199</v>
      </c>
      <c r="E36" s="52" t="s">
        <v>200</v>
      </c>
      <c r="F36" s="51"/>
      <c r="G36" s="55"/>
      <c r="H36" s="55"/>
      <c r="I36" s="55"/>
      <c r="J36" s="55" t="s">
        <v>433</v>
      </c>
      <c r="K36" s="55" t="s">
        <v>435</v>
      </c>
      <c r="L36" s="55" t="s">
        <v>436</v>
      </c>
      <c r="M36" s="57" t="s">
        <v>198</v>
      </c>
    </row>
    <row r="37" customFormat="false" ht="132" hidden="false" customHeight="true" outlineLevel="0" collapsed="false">
      <c r="A37" s="55" t="s">
        <v>202</v>
      </c>
      <c r="B37" s="56" t="s">
        <v>391</v>
      </c>
      <c r="C37" s="55" t="s">
        <v>434</v>
      </c>
      <c r="D37" s="52" t="s">
        <v>203</v>
      </c>
      <c r="E37" s="52" t="s">
        <v>204</v>
      </c>
      <c r="F37" s="52" t="s">
        <v>205</v>
      </c>
      <c r="G37" s="55"/>
      <c r="H37" s="55"/>
      <c r="I37" s="55"/>
      <c r="J37" s="55" t="s">
        <v>433</v>
      </c>
      <c r="K37" s="55" t="s">
        <v>435</v>
      </c>
      <c r="L37" s="55" t="s">
        <v>436</v>
      </c>
      <c r="M37" s="57" t="s">
        <v>202</v>
      </c>
    </row>
    <row r="38" customFormat="false" ht="105" hidden="false" customHeight="true" outlineLevel="0" collapsed="false">
      <c r="A38" s="55" t="s">
        <v>207</v>
      </c>
      <c r="B38" s="56" t="s">
        <v>391</v>
      </c>
      <c r="C38" s="55" t="s">
        <v>434</v>
      </c>
      <c r="D38" s="52" t="s">
        <v>208</v>
      </c>
      <c r="E38" s="52" t="s">
        <v>209</v>
      </c>
      <c r="F38" s="52" t="s">
        <v>210</v>
      </c>
      <c r="G38" s="55"/>
      <c r="H38" s="55"/>
      <c r="I38" s="55"/>
      <c r="J38" s="55" t="s">
        <v>433</v>
      </c>
      <c r="K38" s="55" t="s">
        <v>435</v>
      </c>
      <c r="L38" s="55" t="s">
        <v>436</v>
      </c>
      <c r="M38" s="57" t="s">
        <v>207</v>
      </c>
    </row>
    <row r="39" customFormat="false" ht="138" hidden="false" customHeight="true" outlineLevel="0" collapsed="false">
      <c r="A39" s="55" t="s">
        <v>212</v>
      </c>
      <c r="B39" s="56" t="s">
        <v>391</v>
      </c>
      <c r="C39" s="55" t="s">
        <v>434</v>
      </c>
      <c r="D39" s="52" t="s">
        <v>213</v>
      </c>
      <c r="E39" s="52" t="s">
        <v>214</v>
      </c>
      <c r="F39" s="52" t="s">
        <v>215</v>
      </c>
      <c r="G39" s="55"/>
      <c r="H39" s="55"/>
      <c r="I39" s="55"/>
      <c r="J39" s="55" t="s">
        <v>433</v>
      </c>
      <c r="K39" s="55" t="s">
        <v>435</v>
      </c>
      <c r="L39" s="55" t="s">
        <v>436</v>
      </c>
      <c r="M39" s="57" t="s">
        <v>212</v>
      </c>
    </row>
    <row r="40" customFormat="false" ht="66" hidden="false" customHeight="true" outlineLevel="0" collapsed="false">
      <c r="A40" s="55" t="s">
        <v>437</v>
      </c>
      <c r="B40" s="56" t="s">
        <v>3</v>
      </c>
      <c r="C40" s="55" t="s">
        <v>434</v>
      </c>
      <c r="D40" s="52" t="s">
        <v>218</v>
      </c>
      <c r="E40" s="52" t="s">
        <v>438</v>
      </c>
      <c r="F40" s="51"/>
      <c r="G40" s="55"/>
      <c r="H40" s="55"/>
      <c r="I40" s="55"/>
      <c r="J40" s="55" t="s">
        <v>433</v>
      </c>
      <c r="K40" s="55" t="s">
        <v>435</v>
      </c>
      <c r="L40" s="55" t="s">
        <v>436</v>
      </c>
      <c r="M40" s="57" t="s">
        <v>217</v>
      </c>
    </row>
    <row r="41" customFormat="false" ht="69" hidden="false" customHeight="true" outlineLevel="0" collapsed="false">
      <c r="A41" s="55" t="s">
        <v>439</v>
      </c>
      <c r="B41" s="56" t="s">
        <v>5</v>
      </c>
      <c r="C41" s="55" t="s">
        <v>434</v>
      </c>
      <c r="D41" s="52" t="s">
        <v>218</v>
      </c>
      <c r="E41" s="52" t="s">
        <v>440</v>
      </c>
      <c r="F41" s="51"/>
      <c r="G41" s="55"/>
      <c r="H41" s="55"/>
      <c r="I41" s="55"/>
      <c r="J41" s="55" t="s">
        <v>433</v>
      </c>
      <c r="K41" s="55"/>
      <c r="L41" s="55"/>
      <c r="M41" s="57" t="s">
        <v>217</v>
      </c>
    </row>
    <row r="42" customFormat="false" ht="66" hidden="false" customHeight="true" outlineLevel="0" collapsed="false">
      <c r="A42" s="55" t="s">
        <v>441</v>
      </c>
      <c r="B42" s="56" t="s">
        <v>3</v>
      </c>
      <c r="C42" s="55" t="s">
        <v>434</v>
      </c>
      <c r="D42" s="52" t="s">
        <v>223</v>
      </c>
      <c r="E42" s="52" t="s">
        <v>442</v>
      </c>
      <c r="F42" s="52" t="s">
        <v>226</v>
      </c>
      <c r="G42" s="55" t="s">
        <v>443</v>
      </c>
      <c r="H42" s="55"/>
      <c r="I42" s="55"/>
      <c r="J42" s="55" t="s">
        <v>394</v>
      </c>
      <c r="K42" s="55"/>
      <c r="L42" s="55"/>
      <c r="M42" s="57" t="s">
        <v>222</v>
      </c>
    </row>
    <row r="43" customFormat="false" ht="60.75" hidden="false" customHeight="true" outlineLevel="0" collapsed="false">
      <c r="A43" s="55" t="s">
        <v>444</v>
      </c>
      <c r="B43" s="56" t="s">
        <v>5</v>
      </c>
      <c r="C43" s="55" t="s">
        <v>434</v>
      </c>
      <c r="D43" s="52" t="s">
        <v>223</v>
      </c>
      <c r="E43" s="52" t="s">
        <v>225</v>
      </c>
      <c r="F43" s="52" t="s">
        <v>226</v>
      </c>
      <c r="G43" s="55"/>
      <c r="H43" s="55"/>
      <c r="I43" s="55"/>
      <c r="J43" s="55" t="s">
        <v>394</v>
      </c>
      <c r="K43" s="55"/>
      <c r="L43" s="55"/>
      <c r="M43" s="57" t="s">
        <v>222</v>
      </c>
    </row>
    <row r="44" customFormat="false" ht="121.5" hidden="false" customHeight="true" outlineLevel="0" collapsed="false">
      <c r="A44" s="55" t="s">
        <v>445</v>
      </c>
      <c r="B44" s="56" t="s">
        <v>3</v>
      </c>
      <c r="C44" s="55" t="s">
        <v>434</v>
      </c>
      <c r="D44" s="52" t="s">
        <v>230</v>
      </c>
      <c r="E44" s="52" t="s">
        <v>446</v>
      </c>
      <c r="F44" s="52" t="s">
        <v>447</v>
      </c>
      <c r="G44" s="55"/>
      <c r="H44" s="55"/>
      <c r="I44" s="55"/>
      <c r="J44" s="55" t="s">
        <v>394</v>
      </c>
      <c r="K44" s="55"/>
      <c r="L44" s="55"/>
      <c r="M44" s="57" t="s">
        <v>229</v>
      </c>
    </row>
    <row r="45" customFormat="false" ht="85.5" hidden="false" customHeight="true" outlineLevel="0" collapsed="false">
      <c r="A45" s="55" t="s">
        <v>448</v>
      </c>
      <c r="B45" s="56" t="s">
        <v>5</v>
      </c>
      <c r="C45" s="55" t="s">
        <v>434</v>
      </c>
      <c r="D45" s="52" t="s">
        <v>230</v>
      </c>
      <c r="E45" s="52" t="s">
        <v>232</v>
      </c>
      <c r="F45" s="52" t="s">
        <v>449</v>
      </c>
      <c r="G45" s="55"/>
      <c r="H45" s="55"/>
      <c r="I45" s="55"/>
      <c r="J45" s="55" t="s">
        <v>394</v>
      </c>
      <c r="K45" s="55"/>
      <c r="L45" s="55"/>
      <c r="M45" s="57" t="s">
        <v>229</v>
      </c>
    </row>
    <row r="46" customFormat="false" ht="117.75" hidden="false" customHeight="true" outlineLevel="0" collapsed="false">
      <c r="A46" s="55" t="s">
        <v>450</v>
      </c>
      <c r="B46" s="56" t="s">
        <v>3</v>
      </c>
      <c r="C46" s="55" t="s">
        <v>434</v>
      </c>
      <c r="D46" s="52" t="s">
        <v>237</v>
      </c>
      <c r="E46" s="52" t="s">
        <v>451</v>
      </c>
      <c r="F46" s="52" t="s">
        <v>452</v>
      </c>
      <c r="G46" s="55"/>
      <c r="H46" s="55"/>
      <c r="I46" s="55"/>
      <c r="J46" s="55" t="s">
        <v>394</v>
      </c>
      <c r="K46" s="55"/>
      <c r="L46" s="55"/>
      <c r="M46" s="57" t="s">
        <v>236</v>
      </c>
    </row>
    <row r="47" customFormat="false" ht="98.25" hidden="false" customHeight="true" outlineLevel="0" collapsed="false">
      <c r="A47" s="55" t="s">
        <v>453</v>
      </c>
      <c r="B47" s="56" t="s">
        <v>5</v>
      </c>
      <c r="C47" s="55" t="s">
        <v>434</v>
      </c>
      <c r="D47" s="52" t="s">
        <v>237</v>
      </c>
      <c r="E47" s="52" t="s">
        <v>454</v>
      </c>
      <c r="F47" s="52" t="s">
        <v>455</v>
      </c>
      <c r="G47" s="55"/>
      <c r="H47" s="55"/>
      <c r="I47" s="55"/>
      <c r="J47" s="55" t="s">
        <v>394</v>
      </c>
      <c r="K47" s="55"/>
      <c r="L47" s="55"/>
      <c r="M47" s="57" t="s">
        <v>236</v>
      </c>
    </row>
    <row r="48" customFormat="false" ht="48" hidden="false" customHeight="true" outlineLevel="0" collapsed="false">
      <c r="A48" s="55" t="s">
        <v>243</v>
      </c>
      <c r="B48" s="56" t="s">
        <v>391</v>
      </c>
      <c r="C48" s="55" t="s">
        <v>392</v>
      </c>
      <c r="D48" s="52" t="s">
        <v>244</v>
      </c>
      <c r="E48" s="52" t="s">
        <v>245</v>
      </c>
      <c r="F48" s="51"/>
      <c r="G48" s="55"/>
      <c r="H48" s="55"/>
      <c r="I48" s="55" t="s">
        <v>456</v>
      </c>
      <c r="J48" s="55" t="s">
        <v>394</v>
      </c>
      <c r="K48" s="55"/>
      <c r="L48" s="55"/>
      <c r="M48" s="57" t="s">
        <v>243</v>
      </c>
    </row>
    <row r="49" customFormat="false" ht="58.5" hidden="false" customHeight="true" outlineLevel="0" collapsed="false">
      <c r="A49" s="55" t="s">
        <v>246</v>
      </c>
      <c r="B49" s="56" t="s">
        <v>391</v>
      </c>
      <c r="C49" s="55" t="s">
        <v>392</v>
      </c>
      <c r="D49" s="52" t="s">
        <v>247</v>
      </c>
      <c r="E49" s="52" t="s">
        <v>248</v>
      </c>
      <c r="F49" s="51"/>
      <c r="G49" s="55"/>
      <c r="H49" s="55"/>
      <c r="I49" s="55" t="s">
        <v>457</v>
      </c>
      <c r="J49" s="55" t="s">
        <v>394</v>
      </c>
      <c r="K49" s="55"/>
      <c r="L49" s="55"/>
      <c r="M49" s="57" t="s">
        <v>246</v>
      </c>
    </row>
    <row r="50" customFormat="false" ht="93.75" hidden="false" customHeight="true" outlineLevel="0" collapsed="false">
      <c r="A50" s="58" t="s">
        <v>249</v>
      </c>
      <c r="B50" s="59" t="s">
        <v>391</v>
      </c>
      <c r="C50" s="58" t="s">
        <v>400</v>
      </c>
      <c r="D50" s="46" t="s">
        <v>251</v>
      </c>
      <c r="E50" s="46" t="s">
        <v>252</v>
      </c>
      <c r="F50" s="45"/>
      <c r="G50" s="58"/>
      <c r="H50" s="58"/>
      <c r="I50" s="58" t="s">
        <v>458</v>
      </c>
      <c r="J50" s="58" t="s">
        <v>459</v>
      </c>
      <c r="K50" s="58"/>
      <c r="L50" s="58"/>
      <c r="M50" s="60" t="s">
        <v>249</v>
      </c>
    </row>
    <row r="51" customFormat="false" ht="48" hidden="false" customHeight="true" outlineLevel="0" collapsed="false">
      <c r="A51" s="55" t="s">
        <v>254</v>
      </c>
      <c r="B51" s="56" t="s">
        <v>391</v>
      </c>
      <c r="C51" s="55" t="s">
        <v>400</v>
      </c>
      <c r="D51" s="52" t="s">
        <v>255</v>
      </c>
      <c r="E51" s="52" t="s">
        <v>256</v>
      </c>
      <c r="F51" s="51"/>
      <c r="G51" s="55"/>
      <c r="H51" s="55" t="s">
        <v>460</v>
      </c>
      <c r="I51" s="55" t="s">
        <v>461</v>
      </c>
      <c r="J51" s="55" t="s">
        <v>394</v>
      </c>
      <c r="K51" s="55"/>
      <c r="L51" s="55"/>
      <c r="M51" s="57" t="s">
        <v>254</v>
      </c>
    </row>
    <row r="52" customFormat="false" ht="46.5" hidden="false" customHeight="true" outlineLevel="0" collapsed="false">
      <c r="A52" s="55" t="s">
        <v>258</v>
      </c>
      <c r="B52" s="56" t="s">
        <v>391</v>
      </c>
      <c r="C52" s="55" t="s">
        <v>416</v>
      </c>
      <c r="D52" s="52" t="s">
        <v>259</v>
      </c>
      <c r="E52" s="52" t="s">
        <v>260</v>
      </c>
      <c r="F52" s="51"/>
      <c r="G52" s="55"/>
      <c r="H52" s="55" t="s">
        <v>462</v>
      </c>
      <c r="I52" s="55" t="s">
        <v>463</v>
      </c>
      <c r="J52" s="55" t="s">
        <v>394</v>
      </c>
      <c r="K52" s="55"/>
      <c r="L52" s="55"/>
      <c r="M52" s="57" t="s">
        <v>258</v>
      </c>
    </row>
    <row r="53" customFormat="false" ht="69" hidden="false" customHeight="true" outlineLevel="0" collapsed="false">
      <c r="A53" s="55" t="s">
        <v>262</v>
      </c>
      <c r="B53" s="56" t="s">
        <v>391</v>
      </c>
      <c r="C53" s="55" t="s">
        <v>424</v>
      </c>
      <c r="D53" s="52" t="s">
        <v>263</v>
      </c>
      <c r="E53" s="52" t="s">
        <v>264</v>
      </c>
      <c r="F53" s="51"/>
      <c r="G53" s="55"/>
      <c r="H53" s="55" t="s">
        <v>464</v>
      </c>
      <c r="I53" s="55" t="s">
        <v>465</v>
      </c>
      <c r="J53" s="55" t="s">
        <v>394</v>
      </c>
      <c r="K53" s="55"/>
      <c r="L53" s="55"/>
      <c r="M53" s="57" t="s">
        <v>262</v>
      </c>
    </row>
    <row r="54" customFormat="false" ht="62.25" hidden="false" customHeight="true" outlineLevel="0" collapsed="false">
      <c r="A54" s="55" t="s">
        <v>266</v>
      </c>
      <c r="B54" s="56" t="s">
        <v>391</v>
      </c>
      <c r="C54" s="55" t="s">
        <v>466</v>
      </c>
      <c r="D54" s="52" t="s">
        <v>268</v>
      </c>
      <c r="E54" s="52" t="s">
        <v>269</v>
      </c>
      <c r="F54" s="51"/>
      <c r="G54" s="55"/>
      <c r="H54" s="55"/>
      <c r="I54" s="55" t="s">
        <v>467</v>
      </c>
      <c r="J54" s="55" t="s">
        <v>394</v>
      </c>
      <c r="K54" s="55"/>
      <c r="L54" s="55"/>
      <c r="M54" s="57" t="s">
        <v>266</v>
      </c>
    </row>
    <row r="55" customFormat="false" ht="66.75" hidden="false" customHeight="true" outlineLevel="0" collapsed="false">
      <c r="A55" s="55" t="s">
        <v>270</v>
      </c>
      <c r="B55" s="56" t="s">
        <v>391</v>
      </c>
      <c r="C55" s="55" t="s">
        <v>466</v>
      </c>
      <c r="D55" s="52" t="s">
        <v>271</v>
      </c>
      <c r="E55" s="52" t="s">
        <v>272</v>
      </c>
      <c r="F55" s="51"/>
      <c r="G55" s="55"/>
      <c r="H55" s="55" t="s">
        <v>468</v>
      </c>
      <c r="I55" s="55" t="s">
        <v>469</v>
      </c>
      <c r="J55" s="55" t="s">
        <v>394</v>
      </c>
      <c r="K55" s="55"/>
      <c r="L55" s="55"/>
      <c r="M55" s="57" t="s">
        <v>270</v>
      </c>
    </row>
    <row r="56" customFormat="false" ht="48.75" hidden="false" customHeight="true" outlineLevel="0" collapsed="false">
      <c r="A56" s="55" t="s">
        <v>274</v>
      </c>
      <c r="B56" s="56" t="s">
        <v>391</v>
      </c>
      <c r="C56" s="55" t="s">
        <v>466</v>
      </c>
      <c r="D56" s="52" t="s">
        <v>275</v>
      </c>
      <c r="E56" s="52" t="s">
        <v>276</v>
      </c>
      <c r="F56" s="51"/>
      <c r="G56" s="55"/>
      <c r="H56" s="55"/>
      <c r="I56" s="55" t="s">
        <v>470</v>
      </c>
      <c r="J56" s="55" t="s">
        <v>394</v>
      </c>
      <c r="K56" s="55"/>
      <c r="L56" s="55"/>
      <c r="M56" s="57" t="s">
        <v>274</v>
      </c>
    </row>
    <row r="57" customFormat="false" ht="66" hidden="false" customHeight="true" outlineLevel="0" collapsed="false">
      <c r="A57" s="55" t="s">
        <v>277</v>
      </c>
      <c r="B57" s="56" t="s">
        <v>391</v>
      </c>
      <c r="C57" s="55" t="s">
        <v>432</v>
      </c>
      <c r="D57" s="52" t="s">
        <v>278</v>
      </c>
      <c r="E57" s="52" t="s">
        <v>279</v>
      </c>
      <c r="F57" s="51"/>
      <c r="G57" s="55"/>
      <c r="H57" s="55"/>
      <c r="I57" s="55"/>
      <c r="J57" s="55" t="s">
        <v>394</v>
      </c>
      <c r="K57" s="55"/>
      <c r="L57" s="55"/>
      <c r="M57" s="57" t="s">
        <v>277</v>
      </c>
    </row>
    <row r="58" customFormat="false" ht="60" hidden="false" customHeight="true" outlineLevel="0" collapsed="false">
      <c r="A58" s="55" t="s">
        <v>281</v>
      </c>
      <c r="B58" s="56" t="s">
        <v>391</v>
      </c>
      <c r="C58" s="55" t="s">
        <v>432</v>
      </c>
      <c r="D58" s="52" t="s">
        <v>282</v>
      </c>
      <c r="E58" s="52" t="s">
        <v>283</v>
      </c>
      <c r="F58" s="51"/>
      <c r="G58" s="55"/>
      <c r="H58" s="55"/>
      <c r="I58" s="55"/>
      <c r="J58" s="55" t="s">
        <v>394</v>
      </c>
      <c r="K58" s="55"/>
      <c r="L58" s="55"/>
      <c r="M58" s="57" t="s">
        <v>281</v>
      </c>
    </row>
    <row r="59" customFormat="false" ht="90.75" hidden="false" customHeight="true" outlineLevel="0" collapsed="false">
      <c r="A59" s="55" t="s">
        <v>284</v>
      </c>
      <c r="B59" s="56" t="s">
        <v>391</v>
      </c>
      <c r="C59" s="55" t="s">
        <v>432</v>
      </c>
      <c r="D59" s="52" t="s">
        <v>285</v>
      </c>
      <c r="E59" s="52" t="s">
        <v>286</v>
      </c>
      <c r="F59" s="52" t="s">
        <v>287</v>
      </c>
      <c r="G59" s="55"/>
      <c r="H59" s="55"/>
      <c r="I59" s="55"/>
      <c r="J59" s="55" t="s">
        <v>394</v>
      </c>
      <c r="K59" s="55"/>
      <c r="L59" s="55"/>
      <c r="M59" s="57" t="s">
        <v>284</v>
      </c>
    </row>
    <row r="60" customFormat="false" ht="40.5" hidden="false" customHeight="true" outlineLevel="0" collapsed="false">
      <c r="A60" s="55" t="s">
        <v>289</v>
      </c>
      <c r="B60" s="56" t="s">
        <v>391</v>
      </c>
      <c r="C60" s="55" t="s">
        <v>432</v>
      </c>
      <c r="D60" s="52" t="s">
        <v>290</v>
      </c>
      <c r="E60" s="52" t="s">
        <v>291</v>
      </c>
      <c r="F60" s="51"/>
      <c r="G60" s="55"/>
      <c r="H60" s="55"/>
      <c r="I60" s="55"/>
      <c r="J60" s="55" t="s">
        <v>394</v>
      </c>
      <c r="K60" s="55"/>
      <c r="L60" s="55"/>
      <c r="M60" s="57" t="s">
        <v>289</v>
      </c>
    </row>
    <row r="61" customFormat="false" ht="82.5" hidden="false" customHeight="true" outlineLevel="0" collapsed="false">
      <c r="A61" s="55" t="s">
        <v>293</v>
      </c>
      <c r="B61" s="56" t="s">
        <v>391</v>
      </c>
      <c r="C61" s="55" t="s">
        <v>432</v>
      </c>
      <c r="D61" s="52" t="s">
        <v>294</v>
      </c>
      <c r="E61" s="52" t="s">
        <v>295</v>
      </c>
      <c r="F61" s="51"/>
      <c r="G61" s="55"/>
      <c r="H61" s="55"/>
      <c r="I61" s="55" t="s">
        <v>471</v>
      </c>
      <c r="J61" s="55" t="s">
        <v>394</v>
      </c>
      <c r="K61" s="55"/>
      <c r="L61" s="55"/>
      <c r="M61" s="57" t="s">
        <v>293</v>
      </c>
    </row>
  </sheetData>
  <autoFilter ref="A1:M61"/>
  <dataValidations count="1">
    <dataValidation allowBlank="false" errorStyle="stop" operator="between" showDropDown="false" showErrorMessage="false" showInputMessage="false" sqref="B2:B111" type="list">
      <formula1>"共通,バスターミナル,であいの館"</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0.1" hidden="false" customHeight="false" outlineLevel="0" collapsed="false">
      <c r="A1" s="61" t="s">
        <v>472</v>
      </c>
    </row>
    <row r="2" customFormat="false" ht="15" hidden="false" customHeight="false" outlineLevel="0" collapsed="false">
      <c r="A2" s="2" t="s">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2026-09-23T15:43:52Z</dcterms:created>
  <dc:creator>openpyxl</dc:creator>
  <dc:description/>
  <dc:language>en-US</dc:language>
  <cp:lastModifiedBy/>
  <dcterms:modified xsi:type="dcterms:W3CDTF">2026-09-23T15:43:52Z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